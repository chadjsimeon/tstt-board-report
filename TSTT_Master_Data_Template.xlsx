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sttcott-my.sharepoint.com/personal/csimeon_tstt_co_tt/Documents/Financial Analysis/TSTT_Board_Report/"/>
    </mc:Choice>
  </mc:AlternateContent>
  <xr:revisionPtr revIDLastSave="87" documentId="11_6F8991EE5281D36470E2DCD46D0A78F2D2E811F6" xr6:coauthVersionLast="47" xr6:coauthVersionMax="47" xr10:uidLastSave="{B4FCE522-6223-4598-A5B0-609A5665073B}"/>
  <bookViews>
    <workbookView xWindow="-120" yWindow="-120" windowWidth="29040" windowHeight="15720" firstSheet="4" activeTab="4" xr2:uid="{00000000-000D-0000-FFFF-FFFF00000000}"/>
  </bookViews>
  <sheets>
    <sheet name="README" sheetId="1" r:id="rId1"/>
    <sheet name="P&amp;L_Segments" sheetId="2" r:id="rId2"/>
    <sheet name="OPEX_Detail" sheetId="3" r:id="rId3"/>
    <sheet name="Consumer_Products" sheetId="4" r:id="rId4"/>
    <sheet name="Business_Products" sheetId="5" r:id="rId5"/>
    <sheet name="DPDI_Products" sheetId="6" r:id="rId6"/>
    <sheet name="Amplia_Commercial" sheetId="7" r:id="rId7"/>
    <sheet name="Cash_CAPEX" sheetId="8" r:id="rId8"/>
    <sheet name="Collections_Billing" sheetId="9" r:id="rId9"/>
    <sheet name="AR_Aging" sheetId="10" r:id="rId10"/>
    <sheet name="Pipeline" sheetId="11" r:id="rId11"/>
    <sheet name="Renewals" sheetId="12" r:id="rId12"/>
    <sheet name="Prepaid_ARPU_Buckets" sheetId="13" r:id="rId13"/>
    <sheet name="Prepaid_Data_Usage" sheetId="14" r:id="rId14"/>
    <sheet name="Postpaid by active Plan" sheetId="15" r:id="rId15"/>
    <sheet name="WTTX by Category" sheetId="16" r:id="rId16"/>
  </sheets>
  <definedNames>
    <definedName name="_xlnm._FilterDatabase" localSheetId="1" hidden="1">'P&amp;L_Segments'!$A$3:$P$128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2" i="5" l="1"/>
  <c r="C512" i="5"/>
  <c r="F4" i="8"/>
</calcChain>
</file>

<file path=xl/sharedStrings.xml><?xml version="1.0" encoding="utf-8"?>
<sst xmlns="http://schemas.openxmlformats.org/spreadsheetml/2006/main" count="3460" uniqueCount="477">
  <si>
    <t>TSTT BOARD REPORT — MASTER DATA FILE</t>
  </si>
  <si>
    <t>Single source of truth for all dashboard inputs. Do not duplicate values across sheets.</t>
  </si>
  <si>
    <t>GENERAL RULES</t>
  </si>
  <si>
    <t>Units</t>
  </si>
  <si>
    <t>Enter monetary values exactly as they appear in the source — raw TTD (e.g. 1500000, not 1500 or 1.5). The dashboard converts to millions/thousands for display.</t>
  </si>
  <si>
    <t>Percentages</t>
  </si>
  <si>
    <t>Enter as real % — e.g. enter 2.5 for 2.5%, not 0.025.</t>
  </si>
  <si>
    <t>Dates</t>
  </si>
  <si>
    <t>Month column format: Mon-YY — e.g. "Apr-26", "Jan-27". Jan–Mar use the second year of the FY.</t>
  </si>
  <si>
    <t>Blanks</t>
  </si>
  <si>
    <t>Leave cells blank (not zero) when data is not yet available. Zero means zero.</t>
  </si>
  <si>
    <t>Actuals vs AOP</t>
  </si>
  <si>
    <t>Each sheet holds both Actual and AOP in paired columns (Revenue / Revenue_AOP). Enter both in the same row.</t>
  </si>
  <si>
    <t>Derived values</t>
  </si>
  <si>
    <t>Do NOT enter: totals, GP (= Rev − COS), ARPU (= Rev / Subs), EBITDA Margin, variances. These are computed.</t>
  </si>
  <si>
    <t>SHEET GUIDE</t>
  </si>
  <si>
    <t>P&amp;L_Segments</t>
  </si>
  <si>
    <t>Core P&amp;L by business segment and month. ONE row per (Month, Segment). This drives Financial_Monthly totals.</t>
  </si>
  <si>
    <t>OPEX_Detail</t>
  </si>
  <si>
    <t>Detailed OPEX by category and month. ONE row per (Month, Category). Must sum to Total_OPEX in P&amp;L_Segments.</t>
  </si>
  <si>
    <t>Consumer_Products</t>
  </si>
  <si>
    <t>Consumer sub-segment detail — Prepaid, Postpaid, WTTx, TV, Other. ONE row per (Month, Product).</t>
  </si>
  <si>
    <t>Business_Products</t>
  </si>
  <si>
    <t>Business Sales product breakdown with direct costs and MRR. ONE row per (Month, Product).</t>
  </si>
  <si>
    <t>DPDI_Products</t>
  </si>
  <si>
    <t>DPDI product revenue. COS comes from P&amp;L_Segments.DPDI and is distributed proportionally. ONE row per (Month, Product).</t>
  </si>
  <si>
    <t>Amplia_Commercial</t>
  </si>
  <si>
    <t>Amplia commercial KPIs — ARPU, gross adds, churn. ONE row per Month.</t>
  </si>
  <si>
    <t>Cash_CAPEX</t>
  </si>
  <si>
    <t>Cash position, net debt, free cash flow, and capital expenditure. ONE row per Month.</t>
  </si>
  <si>
    <t>Collections_Billing</t>
  </si>
  <si>
    <t>Monthly billings and collections by customer group. ONE row per (Month, Group).</t>
  </si>
  <si>
    <t>AR_Aging</t>
  </si>
  <si>
    <t>Accounts receivable aging by customer group and aging bucket. ONE row per (Month, Group, Bucket).</t>
  </si>
  <si>
    <t>Pipeline</t>
  </si>
  <si>
    <t>Business Sales pipeline by stage. ONE row per (Month, Stage).</t>
  </si>
  <si>
    <t>Renewals</t>
  </si>
  <si>
    <t>At-risk contract renewals. ONE row per contract renewal record.</t>
  </si>
  <si>
    <t>Prepaid_ARPU_Buckets</t>
  </si>
  <si>
    <t>Prepaid subscriber distribution by ARPU bucket. ONE row per (Month, Bucket).</t>
  </si>
  <si>
    <t>Prepaid_Data_Usage</t>
  </si>
  <si>
    <t>Monthly prepaid data consumption metrics. ONE row per Month.</t>
  </si>
  <si>
    <t>SEGMENT NAMES (use exactly)</t>
  </si>
  <si>
    <t>P&amp;L Segments</t>
  </si>
  <si>
    <t>Consumer Sales | Business Sales | DPDI | Amplia | Other</t>
  </si>
  <si>
    <t>Consumer Products</t>
  </si>
  <si>
    <t>Prepaid | Postpaid | WTTx | TV | Residential Security | Other</t>
  </si>
  <si>
    <t>Business Products</t>
  </si>
  <si>
    <t>Circuit &amp; Data | Cloud | Carrier | Enterprise Fixed | CPE | WTTx | Security | Other</t>
  </si>
  <si>
    <t>DPDI Products</t>
  </si>
  <si>
    <t>E-Tender | E-Health | E-Kiosk | PayPr | E-Cashbook | E-Pay | Other</t>
  </si>
  <si>
    <t>OPEX Categories</t>
  </si>
  <si>
    <t>Personnel | Maintenance | Bad Debt | Advertising &amp; PR | Consultancy &amp; Professional Fees | Other Operating Expenses</t>
  </si>
  <si>
    <t>AR / Collections Groups</t>
  </si>
  <si>
    <t>Government | Non-Government</t>
  </si>
  <si>
    <t>AR Aging Buckets</t>
  </si>
  <si>
    <t>0-30d | 31-60d | 61-90d | 90-360d | 360+d</t>
  </si>
  <si>
    <t>Pipeline Stages</t>
  </si>
  <si>
    <t>Prospect | Qualified | Proposal | Negotiation | Closed Won | Closed Lost</t>
  </si>
  <si>
    <t>Risk Levels</t>
  </si>
  <si>
    <t>Low | Medium | High | Critical</t>
  </si>
  <si>
    <t>P&amp;L BY SEGMENT</t>
  </si>
  <si>
    <t>Grain: one row per (Month × Segment) | 5 segments × 26 months = 130 rows | Monetary: raw TTD</t>
  </si>
  <si>
    <t>Month</t>
  </si>
  <si>
    <t>Segment</t>
  </si>
  <si>
    <t>Revenue</t>
  </si>
  <si>
    <t>Revenue_AOP</t>
  </si>
  <si>
    <t>Revenue_PY</t>
  </si>
  <si>
    <t>COS</t>
  </si>
  <si>
    <t>COS_AOP</t>
  </si>
  <si>
    <t>Gross_Profit</t>
  </si>
  <si>
    <t>GP_AOP</t>
  </si>
  <si>
    <t>OPEX</t>
  </si>
  <si>
    <t>OPEX_AOP</t>
  </si>
  <si>
    <t>EBITDA</t>
  </si>
  <si>
    <t>EBITDA_AOP</t>
  </si>
  <si>
    <t>PAT</t>
  </si>
  <si>
    <t>PAT_AOP</t>
  </si>
  <si>
    <t>Bad_Debt</t>
  </si>
  <si>
    <t>Mon-YY format e.g. Apr-26</t>
  </si>
  <si>
    <t>Actual revenue (raw TTD)</t>
  </si>
  <si>
    <t>AOP / budget revenue (raw TTD)</t>
  </si>
  <si>
    <t>Same month prior year revenue (raw TTD)</t>
  </si>
  <si>
    <t>OPEX DETAIL</t>
  </si>
  <si>
    <t>Grain: one row per (Month × Segment × Category) | Must sum to OPEX column in P&amp;L_Segments | Monetary: raw TTD</t>
  </si>
  <si>
    <t>Category</t>
  </si>
  <si>
    <t>Actual</t>
  </si>
  <si>
    <t>AOP</t>
  </si>
  <si>
    <t>PY</t>
  </si>
  <si>
    <t>Apr-24</t>
  </si>
  <si>
    <t>Group Total</t>
  </si>
  <si>
    <t>Maintenance</t>
  </si>
  <si>
    <t>Prior year same month OPEX (raw TTD)</t>
  </si>
  <si>
    <t>Advertising &amp; PR</t>
  </si>
  <si>
    <t>Consultancy &amp; Professional Fees</t>
  </si>
  <si>
    <t>Other Operating Expenses</t>
  </si>
  <si>
    <t>Bad Debt</t>
  </si>
  <si>
    <t>May-24</t>
  </si>
  <si>
    <t>Personnel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</si>
  <si>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</si>
  <si>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</si>
  <si>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</si>
  <si>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</si>
  <si>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</si>
  <si>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</si>
  <si>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</si>
  <si>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</si>
  <si>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</si>
  <si>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</si>
  <si>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</si>
  <si>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</si>
  <si>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</si>
  <si>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</si>
  <si>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</si>
  <si>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</si>
  <si>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</si>
  <si>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</si>
  <si>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</si>
  <si>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</si>
  <si>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</si>
  <si>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</si>
  <si>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</si>
  <si>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CONSUMER PRODUCTS</t>
  </si>
  <si>
    <t>Grain: one row per (Month × Product) | Revenue must sum to Consumer Sales in P&amp;L_Segments | Monetary: raw TTD</t>
  </si>
  <si>
    <t>Product</t>
  </si>
  <si>
    <t>Subscribers</t>
  </si>
  <si>
    <t>Subscribers_AOP</t>
  </si>
  <si>
    <t>Gross_Adds</t>
  </si>
  <si>
    <t>Gross_Adds_AOP</t>
  </si>
  <si>
    <t>Churn_Pct</t>
  </si>
  <si>
    <t>ARPU</t>
  </si>
  <si>
    <t>Prepaid</t>
  </si>
  <si>
    <t>DERIVED: Revenue / Subscribers. Do not enter.</t>
  </si>
  <si>
    <t>WTTx</t>
  </si>
  <si>
    <t>TV</t>
  </si>
  <si>
    <t>Residential Security</t>
  </si>
  <si>
    <t>Other</t>
  </si>
  <si>
    <t>Postpaid</t>
  </si>
  <si>
    <t>BUSINESS SALES PRODUCTS</t>
  </si>
  <si>
    <t>Grain: one row per (Month × Product) | Revenue must sum to Business Sales in P&amp;L_Segments | Monetary: raw TTD</t>
  </si>
  <si>
    <t>Direct_Costs</t>
  </si>
  <si>
    <t>Direct_Costs_AOP</t>
  </si>
  <si>
    <t>GP_Margin_Pct</t>
  </si>
  <si>
    <t>MRR</t>
  </si>
  <si>
    <t>MRR_AOP</t>
  </si>
  <si>
    <t>Contribution</t>
  </si>
  <si>
    <t>Direct cost of sales — actual (raw TTD)</t>
  </si>
  <si>
    <t>Direct cost of sales — AOP (raw TTD)</t>
  </si>
  <si>
    <t>DERIVED: Revenue − Direct_Costs. Do not enter.</t>
  </si>
  <si>
    <t>DERIVED: GP / Revenue × 100. Do not enter.</t>
  </si>
  <si>
    <t>Monthly recurring revenue — actual (raw TTD)</t>
  </si>
  <si>
    <t>Monthly recurring revenue — AOP (raw TTD)</t>
  </si>
  <si>
    <t>Contribution margin after direct costs (raw TTD)</t>
  </si>
  <si>
    <t>CPE</t>
  </si>
  <si>
    <t>DPDI PRODUCTS</t>
  </si>
  <si>
    <t>Grain: one row per (Month × Product) | Revenue must sum to DPDI in P&amp;L_Segments | COS is proportionally allocated from P&amp;L_Segments | Monetary: raw TTD</t>
  </si>
  <si>
    <t>DERIVED from P&amp;L_Segments DPDI COS, distributed by revenue proportion. Do not enter.</t>
  </si>
  <si>
    <t>AMPLIA COMMERCIAL KPIs</t>
  </si>
  <si>
    <t>Grain: one row per Month | Financial data is in P&amp;L_Segments (Amplia row) | This sheet is commercial/operational KPIs only</t>
  </si>
  <si>
    <t>ARPU_AOP</t>
  </si>
  <si>
    <t>Monthly_Churn</t>
  </si>
  <si>
    <t>Monthly_Churn_AOP</t>
  </si>
  <si>
    <t>Closing_Subscribers</t>
  </si>
  <si>
    <t>Net_Port</t>
  </si>
  <si>
    <t>Average revenue per user — actual (TTD)</t>
  </si>
  <si>
    <t>ARPU — AOP / budget (TTD)</t>
  </si>
  <si>
    <t>New activations — actual (units)</t>
  </si>
  <si>
    <t>New activations — AOP target (units)</t>
  </si>
  <si>
    <t>Churned subscribers this month — actual</t>
  </si>
  <si>
    <t>Churned subscribers — AOP target</t>
  </si>
  <si>
    <t>Total active subscribers at month end</t>
  </si>
  <si>
    <t>Net porting: port-ins minus port-outs</t>
  </si>
  <si>
    <t>CASH · NET DEBT · CAPEX</t>
  </si>
  <si>
    <t>Grain: one row per Month | Monetary: raw TTD</t>
  </si>
  <si>
    <t>Cash_Balance</t>
  </si>
  <si>
    <t>Net_Debt</t>
  </si>
  <si>
    <t>FCF</t>
  </si>
  <si>
    <t>CAPEX_Actual</t>
  </si>
  <si>
    <t>CAPEX_Plan</t>
  </si>
  <si>
    <t>CAPEX_Monthly_Actual</t>
  </si>
  <si>
    <t>CAPEX_Monthly_Plan</t>
  </si>
  <si>
    <t>CAPEX spent this month only (raw TTD)</t>
  </si>
  <si>
    <t>CAPEX budget for this month (raw TTD)</t>
  </si>
  <si>
    <t>COLLECTIONS &amp; BILLING</t>
  </si>
  <si>
    <t>Grain: one row per (Month × Group) | Monetary: raw TTD</t>
  </si>
  <si>
    <t>Group</t>
  </si>
  <si>
    <t>Billings</t>
  </si>
  <si>
    <t>Collections</t>
  </si>
  <si>
    <t>Collections_Pct</t>
  </si>
  <si>
    <t>Prior_Month_Billings</t>
  </si>
  <si>
    <t>Prior_Month_Collections_Pct</t>
  </si>
  <si>
    <t>Collections this month as % of prior month billings</t>
  </si>
  <si>
    <t>ACCOUNTS RECEIVABLE AGING</t>
  </si>
  <si>
    <t>Grain: one row per (Month × Group × Bucket) | 2 groups × 5 buckets = 10 rows per month | Monetary: raw TTD</t>
  </si>
  <si>
    <t>Bucket</t>
  </si>
  <si>
    <t>Amount</t>
  </si>
  <si>
    <t>Government</t>
  </si>
  <si>
    <t>0-30d</t>
  </si>
  <si>
    <t>31-60d</t>
  </si>
  <si>
    <t>61-90d</t>
  </si>
  <si>
    <t>90-360d</t>
  </si>
  <si>
    <t>360+d</t>
  </si>
  <si>
    <t>Non-Government</t>
  </si>
  <si>
    <t>BUSINESS SALES PIPELINE</t>
  </si>
  <si>
    <t>Grain: one row per (Month × Stage × Segment) | Monetary: raw TTD</t>
  </si>
  <si>
    <t>Stage</t>
  </si>
  <si>
    <t>Deal_Count</t>
  </si>
  <si>
    <t>Value_TTD</t>
  </si>
  <si>
    <t>Avg_Deal_Size</t>
  </si>
  <si>
    <t>Win_Rate_Pct</t>
  </si>
  <si>
    <t>Weighted_Value</t>
  </si>
  <si>
    <t>Business Sales segment this pipeline belongs to</t>
  </si>
  <si>
    <t>Number of deals in this stage</t>
  </si>
  <si>
    <t>Total value of deals in this stage (raw TTD)</t>
  </si>
  <si>
    <t>DERIVED: Value_TTD / Deal_Count. Do not enter.</t>
  </si>
  <si>
    <t>Historical win rate for this stage (e.g. 35 = 35%)</t>
  </si>
  <si>
    <t>DERIVED: Value_TTD × Win_Rate_Pct / 100. Do not enter.</t>
  </si>
  <si>
    <t>AT-RISK RENEWALS</t>
  </si>
  <si>
    <t>Grain: one row per contract renewal record | ACV in TTD'000</t>
  </si>
  <si>
    <t>Customer</t>
  </si>
  <si>
    <t>Product_Service</t>
  </si>
  <si>
    <t>ACV_TTD</t>
  </si>
  <si>
    <t>Expiry_Date</t>
  </si>
  <si>
    <t>Risk_Level</t>
  </si>
  <si>
    <t>Status</t>
  </si>
  <si>
    <t>Action_Plan</t>
  </si>
  <si>
    <t>Owner</t>
  </si>
  <si>
    <t>Last_Updated</t>
  </si>
  <si>
    <t>Customer / account name</t>
  </si>
  <si>
    <t>Product or service being renewed</t>
  </si>
  <si>
    <t>Business Sales segment</t>
  </si>
  <si>
    <t>Annual contract value (raw TTD)</t>
  </si>
  <si>
    <t>Contract expiry date (Mon-YY format)</t>
  </si>
  <si>
    <t>Active | In Negotiation | At Risk | Won | Lost</t>
  </si>
  <si>
    <t>Brief description of retention action</t>
  </si>
  <si>
    <t>Account manager or team responsible</t>
  </si>
  <si>
    <t>Date this record was last updated (Mon-YY)</t>
  </si>
  <si>
    <t>PREPAID ARPU DISTRIBUTION</t>
  </si>
  <si>
    <t>Grain: one row per (Month × ARPU_Bucket) | Revenue in TTD'000</t>
  </si>
  <si>
    <t>ARPU_Bucket</t>
  </si>
  <si>
    <t>Pct_of_Total</t>
  </si>
  <si>
    <t>&lt;$5</t>
  </si>
  <si>
    <t>Revenue generated by this bucket (raw TTD)</t>
  </si>
  <si>
    <t>DERIVED: Subscribers / Total Subs × 100. Do not enter.</t>
  </si>
  <si>
    <t>$5-$30</t>
  </si>
  <si>
    <t>$30-$120</t>
  </si>
  <si>
    <t>$120-$300</t>
  </si>
  <si>
    <t>$300+</t>
  </si>
  <si>
    <t>PREPAID DATA USAGE</t>
  </si>
  <si>
    <t>Grain: one row per Month | GB figures in gigabytes | Revenue in TTD'000</t>
  </si>
  <si>
    <t>Total_GB</t>
  </si>
  <si>
    <t>Data_Users</t>
  </si>
  <si>
    <t>Bundle_Subscribers</t>
  </si>
  <si>
    <t>Bundle_Revenue</t>
  </si>
  <si>
    <t>GB_Per_User</t>
  </si>
  <si>
    <t>Bundle_Pct</t>
  </si>
  <si>
    <t>DERIVED: Total_GB / Data_Users. Do not enter.</t>
  </si>
  <si>
    <t>DERIVED: Bundle_Subs / Total Prepaid Subs × 100. Do not enter.</t>
  </si>
  <si>
    <t>Consumer Sales</t>
  </si>
  <si>
    <t>Business Sales</t>
  </si>
  <si>
    <t>DPDI</t>
  </si>
  <si>
    <t>Amplia</t>
  </si>
  <si>
    <t>Business Sales - Government</t>
  </si>
  <si>
    <t>Business Sales - Non-Government</t>
  </si>
  <si>
    <t>Consumer</t>
  </si>
  <si>
    <t>MoU_Per_User</t>
  </si>
  <si>
    <t>Rank</t>
  </si>
  <si>
    <t>Legacy/Active</t>
  </si>
  <si>
    <t>Plan</t>
  </si>
  <si>
    <t>Sub Count</t>
  </si>
  <si>
    <t>% of Base</t>
  </si>
  <si>
    <t>Active</t>
  </si>
  <si>
    <t>My Postpaid $295 plan</t>
  </si>
  <si>
    <t>My Postpaid $450 plan</t>
  </si>
  <si>
    <t>Premium Shared Plan - Member(s)</t>
  </si>
  <si>
    <t>Premium Shared Plan - Owner</t>
  </si>
  <si>
    <t>My Postpaid $625 plan</t>
  </si>
  <si>
    <t>TSTT Staff $199</t>
  </si>
  <si>
    <t>My Big School $150   Mar 2026</t>
  </si>
  <si>
    <t>TSTT Staff Unlimited Plan</t>
  </si>
  <si>
    <t>b-Golden $219 Plan - Jan26</t>
  </si>
  <si>
    <t>Home Phone Voice Only</t>
  </si>
  <si>
    <t>Home Phone Voice and Data Package 2</t>
  </si>
  <si>
    <t>My Postpaid $200 plan</t>
  </si>
  <si>
    <t>Legacy</t>
  </si>
  <si>
    <t>bmobile Lite</t>
  </si>
  <si>
    <t>Postpaid Shared Plan - Member(s)</t>
  </si>
  <si>
    <t>Postpaid Shared Plan - Owner</t>
  </si>
  <si>
    <t>4G Select Plan</t>
  </si>
  <si>
    <t>4G Star $239 Postpaid Plan</t>
  </si>
  <si>
    <t>Junior plan - Aug 24</t>
  </si>
  <si>
    <t>Everything LTE Premium Plan</t>
  </si>
  <si>
    <t>4G Choice Plan</t>
  </si>
  <si>
    <t>4G Preferred Plan</t>
  </si>
  <si>
    <t>Postpaid Special $75</t>
  </si>
  <si>
    <t>4G Essential Plan</t>
  </si>
  <si>
    <t>bmobile Ultra</t>
  </si>
  <si>
    <t>bmobile Mega</t>
  </si>
  <si>
    <t>Home Phone Voice and Data Package 1</t>
  </si>
  <si>
    <t>4G Elite Plan</t>
  </si>
  <si>
    <t>bmobile Family 500</t>
  </si>
  <si>
    <t>bmobile Family 250</t>
  </si>
  <si>
    <t>Postpaid Special $299 Plan</t>
  </si>
  <si>
    <t>Mobile Bundle (Post) Plan</t>
  </si>
  <si>
    <t>bmobile Corporate Employee Plan</t>
  </si>
  <si>
    <t>One Plan $275</t>
  </si>
  <si>
    <t>bmobile Lite $129</t>
  </si>
  <si>
    <t>Postpaid Student Link Plan $149</t>
  </si>
  <si>
    <t>One Plan $149</t>
  </si>
  <si>
    <t>bmobile basic</t>
  </si>
  <si>
    <t>One Plan $349</t>
  </si>
  <si>
    <t>Corporate Employee One Plan</t>
  </si>
  <si>
    <t>bmobile Family 1000</t>
  </si>
  <si>
    <t>Business User Plan 100</t>
  </si>
  <si>
    <t>Corporate Employee Value Plan - Internet</t>
  </si>
  <si>
    <t>4G Anywhere 1 with Blackberry</t>
  </si>
  <si>
    <t>4G Anywhere 2 with Blackberry</t>
  </si>
  <si>
    <t>4G Beyond Plus Blackberry</t>
  </si>
  <si>
    <t>4G Beyond Plus Mobile internet</t>
  </si>
  <si>
    <t>4G iPhone Corporate EMPLOYEE 1</t>
  </si>
  <si>
    <t>4G iPhone Postpaid 1</t>
  </si>
  <si>
    <t>4G iPhone Postpaid 2</t>
  </si>
  <si>
    <t>4G iPhone Postpaid 3</t>
  </si>
  <si>
    <t>4G Postpaid 1</t>
  </si>
  <si>
    <t>4G Postpaid 2</t>
  </si>
  <si>
    <t>4G Postpaid 3</t>
  </si>
  <si>
    <t>BBerry10 Postpaid Standard 1</t>
  </si>
  <si>
    <t>BBerry10 Postpaid Standard 2</t>
  </si>
  <si>
    <t>bmobile beyond</t>
  </si>
  <si>
    <t>bmobile bonus</t>
  </si>
  <si>
    <t>bmobile Force</t>
  </si>
  <si>
    <t>Business User Plan 275</t>
  </si>
  <si>
    <t>Business User Plan 750</t>
  </si>
  <si>
    <t>Iphone 1</t>
  </si>
  <si>
    <t>Iphone 2</t>
  </si>
  <si>
    <t>Iphone 3</t>
  </si>
  <si>
    <t>Student Plan</t>
  </si>
  <si>
    <t>UNI VALUE 300 (no pay-as-you-go data)</t>
  </si>
  <si>
    <t>VALUE 1000 Device / Phone FIN $250</t>
  </si>
  <si>
    <t>VALUE 1000 with Mobile Internet</t>
  </si>
  <si>
    <t>VALUE 300 (Pay as you go data)</t>
  </si>
  <si>
    <t>VALUE 300 (without pay-as-you-go data)</t>
  </si>
  <si>
    <t>VALUE 300 Device / Phone FIN $225</t>
  </si>
  <si>
    <t>b-Liming $200</t>
  </si>
  <si>
    <t>b-Feting $625</t>
  </si>
  <si>
    <t>b-Partying $450</t>
  </si>
  <si>
    <t>b-Pumping $295</t>
  </si>
  <si>
    <t>Elite</t>
  </si>
  <si>
    <t>Extreme plus</t>
  </si>
  <si>
    <t xml:space="preserve">Extreme  </t>
  </si>
  <si>
    <t>BILL SYSTEM</t>
  </si>
  <si>
    <t>Voice/Data/Bundle</t>
  </si>
  <si>
    <t>Package</t>
  </si>
  <si>
    <t>EOC PLAN</t>
  </si>
  <si>
    <t>Data</t>
  </si>
  <si>
    <t>20Mbps Unlimited LTE Business Internet</t>
  </si>
  <si>
    <t>10Mbps Unlimited LTE Business Internet</t>
  </si>
  <si>
    <t>6Mbps Unlimited LTE Business Internet</t>
  </si>
  <si>
    <t>2Mbps Unlimited LTE Business Internet</t>
  </si>
  <si>
    <t>Blink 1Mb/s Business</t>
  </si>
  <si>
    <t xml:space="preserve">-   </t>
  </si>
  <si>
    <t>Blink 2Mb/s Bus 3yr Promo</t>
  </si>
  <si>
    <t>Blink 4Mb/s Business</t>
  </si>
  <si>
    <t>20Mbps LTE Internet at Home</t>
  </si>
  <si>
    <t>10Mbps LTE Internet at Home (M)</t>
  </si>
  <si>
    <t>6Mbps LTE Internet at Home(M)</t>
  </si>
  <si>
    <t>4Mbps LTE Internet at Home (M)</t>
  </si>
  <si>
    <t>2Mbps LTE Internet at Home (M)</t>
  </si>
  <si>
    <t>Blink Wireless 2Mb/s Res</t>
  </si>
  <si>
    <t>Blink Wireless 5Mb/s Res</t>
  </si>
  <si>
    <t>Bundle</t>
  </si>
  <si>
    <t>Bmobile Wireless Business Bundle $449</t>
  </si>
  <si>
    <t>Bmobile Wireless Business Bundle $399</t>
  </si>
  <si>
    <t>Voice Only</t>
  </si>
  <si>
    <t>Business Line</t>
  </si>
  <si>
    <t>Bmobile Wireless $249 Double Play</t>
  </si>
  <si>
    <t>Bmobile Wireless 20Mbps Res Bundle $249</t>
  </si>
  <si>
    <t>Bmobile Wireless Residential Bundle $199</t>
  </si>
  <si>
    <t>Bmobile Wireless $169 Double Play</t>
  </si>
  <si>
    <t>Bmobile Wireless Residential Bundle $99</t>
  </si>
  <si>
    <t>Residential Line</t>
  </si>
  <si>
    <t>Management 10Mbps Wireless Internet</t>
  </si>
  <si>
    <t>Management 5Mbps Wireless Internet</t>
  </si>
  <si>
    <t>Bmobile Wireless $649 Quad Play</t>
  </si>
  <si>
    <t>Bmobile Wireless Residential Bundle $579</t>
  </si>
  <si>
    <t>Bmobile Wireless Residential Bundle $479</t>
  </si>
  <si>
    <t>Bmobile Wireless $449 Quad Play</t>
  </si>
  <si>
    <t>Bmobile Wireless Residential Bundle $349</t>
  </si>
  <si>
    <t>Bmobile Wireless $279 Triple Play</t>
  </si>
  <si>
    <t>Bmobile Wireless Residential Bundle $249</t>
  </si>
  <si>
    <t>Bmobile Wireless $229 Triple Play</t>
  </si>
  <si>
    <t>RK PLAN</t>
  </si>
  <si>
    <t>Blink 1Mb/s Bus 3yr Promo</t>
  </si>
  <si>
    <t>Blink 4Mb/s Bus 3yr Promo</t>
  </si>
  <si>
    <t>Blink Wireless 1Mb/s (Bus)</t>
  </si>
  <si>
    <t>Blink Wireless 1Mb/s (Res)</t>
  </si>
  <si>
    <t>Blink Wireless 2MB</t>
  </si>
  <si>
    <t>Blink Wireless 2Mb/s (Bus)</t>
  </si>
  <si>
    <t>Blink Wireless 2Mb/s (Res)</t>
  </si>
  <si>
    <t>Blink Wireless 2Mb/s Res 2yr</t>
  </si>
  <si>
    <t>Blink Wireless 2Mb/s Res Promo</t>
  </si>
  <si>
    <t>Blink Wireless 4Mb/s (Bus)</t>
  </si>
  <si>
    <t>Blink Wireless 512K/s (Bus)</t>
  </si>
  <si>
    <t>Blink Wireless 5MB</t>
  </si>
  <si>
    <t>Blink Wireless 5Mb/s (Res)</t>
  </si>
  <si>
    <t>Blink Wireless 5Mb/s Res 2yr</t>
  </si>
  <si>
    <t>Blink Wireless 5Mb/s Res promo</t>
  </si>
  <si>
    <t>LTE Market Pilot 2M</t>
  </si>
  <si>
    <t>LTE Market Pilot 5M</t>
  </si>
  <si>
    <t>LTE Market Pilot 9M</t>
  </si>
  <si>
    <t>LTE Wireless-2Mbs $79 Promo</t>
  </si>
  <si>
    <t>Student Wireless LTE 2Mbps</t>
  </si>
  <si>
    <t>Student Wireless LTE 5Mbps</t>
  </si>
  <si>
    <t>Unlimited LTE Broadband at Home</t>
  </si>
  <si>
    <t>6Mbps LTE Broadband at Home</t>
  </si>
  <si>
    <t>10Mbps LTE Broadband at Home</t>
  </si>
  <si>
    <t>TSTT Mgmt Emp 5Mb Package</t>
  </si>
  <si>
    <t>TSTT Mgmt Emp 10Mb Package</t>
  </si>
  <si>
    <t>Sep-2022</t>
  </si>
  <si>
    <t>POSTPAID EQUIPMENT SALES</t>
  </si>
  <si>
    <t>DIRECTORY ADVERTISING</t>
  </si>
  <si>
    <t>CIRCUIT (INT'T, DOM. &amp; DATA)</t>
  </si>
  <si>
    <t>CLOUD APPLICATION</t>
  </si>
  <si>
    <t>SECURITY</t>
  </si>
  <si>
    <t>ENTERPRISE FIXED</t>
  </si>
  <si>
    <t>WTTX</t>
  </si>
  <si>
    <t>CARRIER</t>
  </si>
  <si>
    <t>OTHER REVENUES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</si>
  <si>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</si>
  <si>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</si>
  <si>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</si>
  <si>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</si>
  <si>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</si>
  <si>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</si>
  <si>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</si>
  <si>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</si>
  <si>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RESIDENTIAL SECURITY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</si>
  <si>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</si>
  <si>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</si>
  <si>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</si>
  <si>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</si>
  <si>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</si>
  <si>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</si>
  <si>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</si>
  <si>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</si>
  <si>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</si>
  <si>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</si>
  <si>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</si>
  <si>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</si>
  <si>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</si>
  <si>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</si>
  <si>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</si>
  <si>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</si>
  <si>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</si>
  <si>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</si>
  <si>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</si>
  <si>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</si>
  <si>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</si>
  <si>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</si>
  <si>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</si>
  <si>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</si>
  <si>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</si>
  <si>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</si>
  <si>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</si>
  <si>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</si>
  <si>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</si>
  <si>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</si>
  <si>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</si>
  <si>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</si>
  <si>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</si>
  <si>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</si>
  <si>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</si>
  <si>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M2M</t>
  </si>
  <si>
    <t>Mobile_Subs</t>
  </si>
  <si>
    <t>USAGE</t>
  </si>
  <si>
    <t>OCC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</si>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</sst>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0"/>
      <color rgb="FF333333"/>
      <name val="Calibri"/>
      <family val="2"/>
    </font>
    <font>
      <sz val="10"/>
      <color rgb="FF444444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i/>
      <sz val="9"/>
      <color rgb="FFAAAAAA"/>
      <name val="Calibri"/>
      <family val="2"/>
    </font>
    <font>
      <b/>
      <sz val="11"/>
      <color rgb="FFFFFFFF"/>
      <name val="Calibri"/>
      <family val="2"/>
    </font>
    <font>
      <i/>
      <sz val="9"/>
      <color rgb="FF555555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name val="Candara"/>
      <family val="2"/>
    </font>
    <font>
      <sz val="11"/>
      <name val="Candara"/>
      <family val="2"/>
    </font>
  </fonts>
  <fills count="1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96127"/>
      </patternFill>
    </fill>
    <fill>
      <patternFill patternType="solid">
        <fgColor rgb="FF1F3864"/>
      </patternFill>
    </fill>
    <fill>
      <patternFill patternType="solid">
        <fgColor rgb="FF3B1F64"/>
      </patternFill>
    </fill>
    <fill>
      <patternFill patternType="solid">
        <fgColor rgb="FF1A1A2E"/>
      </patternFill>
    </fill>
    <fill>
      <patternFill patternType="solid">
        <fgColor rgb="FFF2F2F2"/>
      </patternFill>
    </fill>
    <fill>
      <patternFill patternType="solid">
        <fgColor rgb="FF1F5464"/>
      </patternFill>
    </fill>
    <fill>
      <patternFill patternType="solid">
        <fgColor rgb="FF7F3B00"/>
      </patternFill>
    </fill>
    <fill>
      <patternFill patternType="solid">
        <fgColor rgb="FF641F1F"/>
      </patternFill>
    </fill>
    <fill>
      <patternFill patternType="solid">
        <fgColor rgb="FF444444"/>
      </patternFill>
    </fill>
    <fill>
      <patternFill patternType="solid">
        <fgColor rgb="FFA6C9EC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7" fontId="8" fillId="7" borderId="1" xfId="0" applyNumberFormat="1" applyFont="1" applyFill="1" applyBorder="1" applyAlignment="1">
      <alignment horizontal="center" vertical="center" wrapText="1"/>
    </xf>
    <xf numFmtId="17" fontId="0" fillId="0" borderId="0" xfId="0" applyNumberFormat="1"/>
    <xf numFmtId="43" fontId="0" fillId="0" borderId="0" xfId="1" applyFont="1"/>
    <xf numFmtId="10" fontId="10" fillId="0" borderId="0" xfId="0" applyNumberFormat="1" applyFont="1"/>
    <xf numFmtId="3" fontId="0" fillId="0" borderId="0" xfId="0" applyNumberFormat="1"/>
    <xf numFmtId="8" fontId="0" fillId="0" borderId="0" xfId="0" applyNumberFormat="1"/>
    <xf numFmtId="0" fontId="11" fillId="0" borderId="0" xfId="0" applyFont="1"/>
    <xf numFmtId="0" fontId="12" fillId="0" borderId="0" xfId="0" applyFont="1"/>
    <xf numFmtId="17" fontId="12" fillId="0" borderId="0" xfId="0" applyNumberFormat="1" applyFont="1"/>
    <xf numFmtId="0" fontId="11" fillId="12" borderId="0" xfId="0" applyFont="1" applyFill="1"/>
    <xf numFmtId="0" fontId="13" fillId="12" borderId="0" xfId="0" applyFont="1" applyFill="1"/>
    <xf numFmtId="0" fontId="13" fillId="12" borderId="0" xfId="0" applyFont="1" applyFill="1" applyAlignment="1">
      <alignment horizontal="right"/>
    </xf>
    <xf numFmtId="9" fontId="11" fillId="12" borderId="0" xfId="0" applyNumberFormat="1" applyFont="1" applyFill="1"/>
    <xf numFmtId="0" fontId="11" fillId="13" borderId="0" xfId="0" applyFont="1" applyFill="1"/>
    <xf numFmtId="0" fontId="13" fillId="13" borderId="0" xfId="0" applyFont="1" applyFill="1" applyAlignment="1">
      <alignment horizontal="right"/>
    </xf>
    <xf numFmtId="9" fontId="11" fillId="13" borderId="0" xfId="0" applyNumberFormat="1" applyFont="1" applyFill="1"/>
    <xf numFmtId="0" fontId="13" fillId="13" borderId="0" xfId="0" applyFont="1" applyFill="1"/>
    <xf numFmtId="0" fontId="13" fillId="13" borderId="0" xfId="0" applyFont="1" applyFill="1" applyAlignment="1">
      <alignment horizontal="left"/>
    </xf>
    <xf numFmtId="0" fontId="11" fillId="14" borderId="0" xfId="0" applyFont="1" applyFill="1"/>
    <xf numFmtId="0" fontId="13" fillId="14" borderId="0" xfId="0" applyFont="1" applyFill="1" applyAlignment="1">
      <alignment horizontal="right"/>
    </xf>
    <xf numFmtId="9" fontId="11" fillId="14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17" fontId="14" fillId="0" borderId="0" xfId="0" applyNumberFormat="1" applyFont="1"/>
    <xf numFmtId="0" fontId="16" fillId="0" borderId="2" xfId="0" applyFont="1" applyBorder="1"/>
    <xf numFmtId="3" fontId="16" fillId="0" borderId="2" xfId="0" applyNumberFormat="1" applyFont="1" applyBorder="1"/>
    <xf numFmtId="0" fontId="7" fillId="4" borderId="3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0" fillId="0" borderId="0" xfId="0"/>
    <xf numFmtId="0" fontId="5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B36"/>
  <sheetViews>
    <sheetView workbookViewId="0">
      <selection activeCell="F18" sqref="F18"/>
    </sheetView>
  </sheetViews>
  <sheetFormatPr defaultRowHeight="15" x14ac:dyDescent="0.25"/>
  <cols>
    <col min="1" max="1" width="28" customWidth="1"/>
    <col min="2" max="2" width="90" customWidth="1"/>
  </cols>
  <sheetData>
    <row r="1" spans="1:2" ht="26.1" customHeight="1" x14ac:dyDescent="0.25">
      <c r="A1" s="44" t="s">
        <v>0</v>
      </c>
      <c r="B1" s="40"/>
    </row>
    <row r="2" spans="1:2" ht="20.100000000000001" customHeight="1" x14ac:dyDescent="0.25">
      <c r="A2" s="1" t="s">
        <v>1</v>
      </c>
      <c r="B2" s="2"/>
    </row>
    <row r="4" spans="1:2" ht="26.1" customHeight="1" x14ac:dyDescent="0.25">
      <c r="A4" s="42" t="s">
        <v>2</v>
      </c>
      <c r="B4" s="40"/>
    </row>
    <row r="5" spans="1:2" ht="25.5" x14ac:dyDescent="0.25">
      <c r="A5" s="1" t="s">
        <v>3</v>
      </c>
      <c r="B5" s="2" t="s">
        <v>4</v>
      </c>
    </row>
    <row r="6" spans="1:2" ht="20.100000000000001" customHeight="1" x14ac:dyDescent="0.25">
      <c r="A6" s="1" t="s">
        <v>5</v>
      </c>
      <c r="B6" s="2" t="s">
        <v>6</v>
      </c>
    </row>
    <row r="7" spans="1:2" ht="20.100000000000001" customHeight="1" x14ac:dyDescent="0.25">
      <c r="A7" s="1" t="s">
        <v>7</v>
      </c>
      <c r="B7" s="2" t="s">
        <v>8</v>
      </c>
    </row>
    <row r="8" spans="1:2" ht="20.100000000000001" customHeight="1" x14ac:dyDescent="0.25">
      <c r="A8" s="1" t="s">
        <v>9</v>
      </c>
      <c r="B8" s="2" t="s">
        <v>10</v>
      </c>
    </row>
    <row r="9" spans="1:2" ht="20.100000000000001" customHeight="1" x14ac:dyDescent="0.25">
      <c r="A9" s="1" t="s">
        <v>11</v>
      </c>
      <c r="B9" s="2" t="s">
        <v>12</v>
      </c>
    </row>
    <row r="10" spans="1:2" ht="20.100000000000001" customHeight="1" x14ac:dyDescent="0.25">
      <c r="A10" s="1" t="s">
        <v>13</v>
      </c>
      <c r="B10" s="2" t="s">
        <v>14</v>
      </c>
    </row>
    <row r="12" spans="1:2" ht="26.1" customHeight="1" x14ac:dyDescent="0.25">
      <c r="A12" s="45" t="s">
        <v>15</v>
      </c>
      <c r="B12" s="40"/>
    </row>
    <row r="13" spans="1:2" ht="20.100000000000001" customHeight="1" x14ac:dyDescent="0.25">
      <c r="A13" s="1" t="s">
        <v>16</v>
      </c>
      <c r="B13" s="2" t="s">
        <v>17</v>
      </c>
    </row>
    <row r="14" spans="1:2" ht="20.100000000000001" customHeight="1" x14ac:dyDescent="0.25">
      <c r="A14" s="1" t="s">
        <v>18</v>
      </c>
      <c r="B14" s="2" t="s">
        <v>19</v>
      </c>
    </row>
    <row r="15" spans="1:2" ht="20.100000000000001" customHeight="1" x14ac:dyDescent="0.25">
      <c r="A15" s="1" t="s">
        <v>20</v>
      </c>
      <c r="B15" s="2" t="s">
        <v>21</v>
      </c>
    </row>
    <row r="16" spans="1:2" ht="20.100000000000001" customHeight="1" x14ac:dyDescent="0.25">
      <c r="A16" s="1" t="s">
        <v>22</v>
      </c>
      <c r="B16" s="2" t="s">
        <v>23</v>
      </c>
    </row>
    <row r="17" spans="1:2" ht="20.100000000000001" customHeight="1" x14ac:dyDescent="0.25">
      <c r="A17" s="1" t="s">
        <v>24</v>
      </c>
      <c r="B17" s="2" t="s">
        <v>25</v>
      </c>
    </row>
    <row r="18" spans="1:2" ht="20.100000000000001" customHeight="1" x14ac:dyDescent="0.25">
      <c r="A18" s="1" t="s">
        <v>26</v>
      </c>
      <c r="B18" s="2" t="s">
        <v>27</v>
      </c>
    </row>
    <row r="19" spans="1:2" ht="20.100000000000001" customHeight="1" x14ac:dyDescent="0.25">
      <c r="A19" s="1" t="s">
        <v>28</v>
      </c>
      <c r="B19" s="2" t="s">
        <v>29</v>
      </c>
    </row>
    <row r="20" spans="1:2" ht="20.100000000000001" customHeight="1" x14ac:dyDescent="0.25">
      <c r="A20" s="1" t="s">
        <v>30</v>
      </c>
      <c r="B20" s="2" t="s">
        <v>31</v>
      </c>
    </row>
    <row r="21" spans="1:2" ht="20.100000000000001" customHeight="1" x14ac:dyDescent="0.25">
      <c r="A21" s="1" t="s">
        <v>32</v>
      </c>
      <c r="B21" s="2" t="s">
        <v>33</v>
      </c>
    </row>
    <row r="22" spans="1:2" ht="20.100000000000001" customHeight="1" x14ac:dyDescent="0.25">
      <c r="A22" s="1" t="s">
        <v>34</v>
      </c>
      <c r="B22" s="2" t="s">
        <v>35</v>
      </c>
    </row>
    <row r="23" spans="1:2" ht="20.100000000000001" customHeight="1" x14ac:dyDescent="0.25">
      <c r="A23" s="1" t="s">
        <v>36</v>
      </c>
      <c r="B23" s="2" t="s">
        <v>37</v>
      </c>
    </row>
    <row r="24" spans="1:2" ht="20.100000000000001" customHeight="1" x14ac:dyDescent="0.25">
      <c r="A24" s="1" t="s">
        <v>38</v>
      </c>
      <c r="B24" s="2" t="s">
        <v>39</v>
      </c>
    </row>
    <row r="25" spans="1:2" ht="20.100000000000001" customHeight="1" x14ac:dyDescent="0.25">
      <c r="A25" s="1" t="s">
        <v>40</v>
      </c>
      <c r="B25" s="2" t="s">
        <v>41</v>
      </c>
    </row>
    <row r="27" spans="1:2" ht="26.1" customHeight="1" x14ac:dyDescent="0.25">
      <c r="A27" s="43" t="s">
        <v>42</v>
      </c>
      <c r="B27" s="40"/>
    </row>
    <row r="28" spans="1:2" ht="20.100000000000001" customHeight="1" x14ac:dyDescent="0.25">
      <c r="A28" s="1" t="s">
        <v>43</v>
      </c>
      <c r="B28" s="2" t="s">
        <v>44</v>
      </c>
    </row>
    <row r="29" spans="1:2" ht="20.100000000000001" customHeight="1" x14ac:dyDescent="0.25">
      <c r="A29" s="1" t="s">
        <v>45</v>
      </c>
      <c r="B29" s="2" t="s">
        <v>46</v>
      </c>
    </row>
    <row r="30" spans="1:2" ht="20.100000000000001" customHeight="1" x14ac:dyDescent="0.25">
      <c r="A30" s="1" t="s">
        <v>47</v>
      </c>
      <c r="B30" s="2" t="s">
        <v>48</v>
      </c>
    </row>
    <row r="31" spans="1:2" ht="20.100000000000001" customHeight="1" x14ac:dyDescent="0.25">
      <c r="A31" s="1" t="s">
        <v>49</v>
      </c>
      <c r="B31" s="2" t="s">
        <v>50</v>
      </c>
    </row>
    <row r="32" spans="1:2" ht="20.100000000000001" customHeight="1" x14ac:dyDescent="0.25">
      <c r="A32" s="1" t="s">
        <v>51</v>
      </c>
      <c r="B32" s="2" t="s">
        <v>52</v>
      </c>
    </row>
    <row r="33" spans="1:2" ht="20.100000000000001" customHeight="1" x14ac:dyDescent="0.25">
      <c r="A33" s="1" t="s">
        <v>53</v>
      </c>
      <c r="B33" s="2" t="s">
        <v>54</v>
      </c>
    </row>
    <row r="34" spans="1:2" ht="20.100000000000001" customHeight="1" x14ac:dyDescent="0.25">
      <c r="A34" s="1" t="s">
        <v>55</v>
      </c>
      <c r="B34" s="2" t="s">
        <v>56</v>
      </c>
    </row>
    <row r="35" spans="1:2" ht="20.100000000000001" customHeight="1" x14ac:dyDescent="0.25">
      <c r="A35" s="1" t="s">
        <v>57</v>
      </c>
      <c r="B35" s="2" t="s">
        <v>58</v>
      </c>
    </row>
    <row r="36" spans="1:2" ht="20.100000000000001" customHeight="1" x14ac:dyDescent="0.25">
      <c r="A36" s="1" t="s">
        <v>59</v>
      </c>
      <c r="B36" s="2" t="s">
        <v>60</v>
      </c>
    </row>
  </sheetData>
  <mergeCells count="4">
    <mergeCell ref="A4:B4"/>
    <mergeCell ref="A27:B27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96127"/>
  </sheetPr>
  <dimension ref="A1:P128"/>
  <sheetViews>
    <sheetView workbookViewId="0">
      <pane ySplit="4" topLeftCell="A80" activePane="bottomLeft" state="frozen"/>
      <selection pane="bottomLeft" activeCell="J91" sqref="J91"/>
    </sheetView>
  </sheetViews>
  <sheetFormatPr defaultRowHeight="15" x14ac:dyDescent="0.25"/>
  <cols>
    <col min="1" max="1" width="12" customWidth="1"/>
    <col min="2" max="2" width="20" customWidth="1"/>
    <col min="3" max="15" width="16" customWidth="1"/>
    <col min="16" max="16" width="14" customWidth="1"/>
  </cols>
  <sheetData>
    <row r="1" spans="1:16" ht="27.95" customHeight="1" x14ac:dyDescent="0.25">
      <c r="A1" s="46" t="s">
        <v>61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8" customHeight="1" x14ac:dyDescent="0.25">
      <c r="A2" s="39" t="s">
        <v>62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ht="36" customHeight="1" x14ac:dyDescent="0.25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</row>
    <row r="4" spans="1:16" ht="32.1" customHeight="1" x14ac:dyDescent="0.25">
      <c r="A4" s="11">
        <v>45383</v>
      </c>
      <c r="B4" s="4" t="s">
        <v>258</v>
      </c>
      <c r="C4" s="4">
        <v>91276157.890000001</v>
      </c>
      <c r="D4" s="4"/>
      <c r="E4" s="4"/>
      <c r="F4" s="4">
        <v>17337699.66</v>
      </c>
      <c r="G4" s="4"/>
      <c r="H4" s="4"/>
      <c r="I4" s="4"/>
      <c r="J4" s="4">
        <v>5879155.5099999998</v>
      </c>
      <c r="K4" s="4"/>
      <c r="L4" s="4"/>
      <c r="M4" s="4"/>
      <c r="N4" s="4"/>
      <c r="O4" s="4"/>
      <c r="P4" s="4"/>
    </row>
    <row r="5" spans="1:16" x14ac:dyDescent="0.25">
      <c r="A5" s="12">
        <v>45383</v>
      </c>
      <c r="B5" s="13" t="s">
        <v>259</v>
      </c>
      <c r="C5">
        <v>48323108.189999998</v>
      </c>
      <c r="F5">
        <v>6844657.5300000003</v>
      </c>
      <c r="J5">
        <v>6252154.5199999996</v>
      </c>
    </row>
    <row r="6" spans="1:16" x14ac:dyDescent="0.25">
      <c r="A6" s="12">
        <v>45383</v>
      </c>
      <c r="B6" s="13" t="s">
        <v>260</v>
      </c>
      <c r="C6">
        <v>852611.23</v>
      </c>
      <c r="F6">
        <v>122085.45</v>
      </c>
    </row>
    <row r="7" spans="1:16" x14ac:dyDescent="0.25">
      <c r="A7" s="12">
        <v>45383</v>
      </c>
      <c r="B7" s="13" t="s">
        <v>261</v>
      </c>
      <c r="C7">
        <v>21294365.27</v>
      </c>
      <c r="F7">
        <v>5761790.8399999999</v>
      </c>
      <c r="J7">
        <v>10362105.27</v>
      </c>
      <c r="P7">
        <v>1146586.45</v>
      </c>
    </row>
    <row r="8" spans="1:16" x14ac:dyDescent="0.25">
      <c r="A8" s="12">
        <v>45383</v>
      </c>
      <c r="B8" s="13" t="s">
        <v>136</v>
      </c>
      <c r="C8">
        <v>-2571977.31</v>
      </c>
      <c r="F8">
        <v>-2488464</v>
      </c>
      <c r="N8">
        <v>10044226.02</v>
      </c>
    </row>
    <row r="9" spans="1:16" x14ac:dyDescent="0.25">
      <c r="A9" s="12">
        <v>45413</v>
      </c>
      <c r="B9" s="13" t="s">
        <v>258</v>
      </c>
      <c r="C9">
        <v>95016367.290000007</v>
      </c>
      <c r="F9">
        <v>17098907.140000001</v>
      </c>
      <c r="J9">
        <v>6172505.1399999997</v>
      </c>
    </row>
    <row r="10" spans="1:16" x14ac:dyDescent="0.25">
      <c r="A10" s="12">
        <v>45413</v>
      </c>
      <c r="B10" s="13" t="s">
        <v>259</v>
      </c>
      <c r="C10">
        <v>52835432.600000001</v>
      </c>
      <c r="F10">
        <v>5093441.8600000003</v>
      </c>
      <c r="J10">
        <v>7220089.0499999998</v>
      </c>
    </row>
    <row r="11" spans="1:16" x14ac:dyDescent="0.25">
      <c r="A11" s="12">
        <v>45413</v>
      </c>
      <c r="B11" s="13" t="s">
        <v>260</v>
      </c>
      <c r="C11">
        <v>3462487.84</v>
      </c>
      <c r="F11">
        <v>819585.45</v>
      </c>
    </row>
    <row r="12" spans="1:16" x14ac:dyDescent="0.25">
      <c r="A12" s="12">
        <v>45413</v>
      </c>
      <c r="B12" s="13" t="s">
        <v>261</v>
      </c>
      <c r="C12">
        <v>21992004.940000001</v>
      </c>
      <c r="F12">
        <v>5643691.1900000004</v>
      </c>
      <c r="J12">
        <v>4522011.5199999996</v>
      </c>
      <c r="P12">
        <v>1184384.22</v>
      </c>
    </row>
    <row r="13" spans="1:16" x14ac:dyDescent="0.25">
      <c r="A13" s="12">
        <v>45413</v>
      </c>
      <c r="B13" s="13" t="s">
        <v>136</v>
      </c>
      <c r="C13">
        <v>-2190508.73</v>
      </c>
      <c r="F13">
        <v>-1678601.45</v>
      </c>
      <c r="N13">
        <v>22006222.98</v>
      </c>
    </row>
    <row r="14" spans="1:16" x14ac:dyDescent="0.25">
      <c r="A14" s="12">
        <v>45444</v>
      </c>
      <c r="B14" s="13" t="s">
        <v>258</v>
      </c>
      <c r="C14">
        <v>89674927.450000003</v>
      </c>
      <c r="F14">
        <v>14020449.109999999</v>
      </c>
      <c r="J14">
        <v>8444611.9299999997</v>
      </c>
    </row>
    <row r="15" spans="1:16" x14ac:dyDescent="0.25">
      <c r="A15" s="12">
        <v>45444</v>
      </c>
      <c r="B15" s="13" t="s">
        <v>259</v>
      </c>
      <c r="C15">
        <v>45755466.960000001</v>
      </c>
      <c r="F15">
        <v>7442776.5599999996</v>
      </c>
      <c r="J15">
        <v>5612600.4500000002</v>
      </c>
    </row>
    <row r="16" spans="1:16" x14ac:dyDescent="0.25">
      <c r="A16" s="12">
        <v>45444</v>
      </c>
      <c r="B16" s="13" t="s">
        <v>260</v>
      </c>
      <c r="C16">
        <v>1036273.23</v>
      </c>
      <c r="F16">
        <v>194960.45</v>
      </c>
    </row>
    <row r="17" spans="1:16" x14ac:dyDescent="0.25">
      <c r="A17" s="12">
        <v>45444</v>
      </c>
      <c r="B17" s="13" t="s">
        <v>261</v>
      </c>
      <c r="C17">
        <v>21891187.440000001</v>
      </c>
      <c r="F17">
        <v>5508788.1299999999</v>
      </c>
      <c r="J17">
        <v>10290609.439999999</v>
      </c>
      <c r="P17">
        <v>966847.85</v>
      </c>
    </row>
    <row r="18" spans="1:16" x14ac:dyDescent="0.25">
      <c r="A18" s="12">
        <v>45444</v>
      </c>
      <c r="B18" s="13" t="s">
        <v>136</v>
      </c>
      <c r="C18">
        <v>-1876433.64</v>
      </c>
      <c r="F18">
        <v>-2091040.12</v>
      </c>
      <c r="N18">
        <v>9315861.1799999997</v>
      </c>
    </row>
    <row r="19" spans="1:16" x14ac:dyDescent="0.25">
      <c r="A19" s="12">
        <v>45474</v>
      </c>
      <c r="B19" s="13" t="s">
        <v>258</v>
      </c>
      <c r="C19">
        <v>91502593.530000001</v>
      </c>
      <c r="F19">
        <v>16100968.289999999</v>
      </c>
      <c r="J19">
        <v>5907869.9000000004</v>
      </c>
    </row>
    <row r="20" spans="1:16" x14ac:dyDescent="0.25">
      <c r="A20" s="12">
        <v>45474</v>
      </c>
      <c r="B20" s="13" t="s">
        <v>259</v>
      </c>
      <c r="C20">
        <v>74130909.989999995</v>
      </c>
      <c r="F20">
        <v>27227759.879999999</v>
      </c>
      <c r="J20">
        <v>4220450.09</v>
      </c>
    </row>
    <row r="21" spans="1:16" x14ac:dyDescent="0.25">
      <c r="A21" s="12">
        <v>45474</v>
      </c>
      <c r="B21" s="13" t="s">
        <v>260</v>
      </c>
      <c r="C21">
        <v>2897161.42</v>
      </c>
      <c r="F21">
        <v>274960.45</v>
      </c>
    </row>
    <row r="22" spans="1:16" x14ac:dyDescent="0.25">
      <c r="A22" s="12">
        <v>45474</v>
      </c>
      <c r="B22" s="13" t="s">
        <v>261</v>
      </c>
      <c r="C22">
        <v>23289640.760000002</v>
      </c>
      <c r="F22">
        <v>5443864.4699999997</v>
      </c>
      <c r="J22">
        <v>10423608.1</v>
      </c>
      <c r="P22">
        <v>1133801.92</v>
      </c>
    </row>
    <row r="23" spans="1:16" x14ac:dyDescent="0.25">
      <c r="A23" s="12">
        <v>45474</v>
      </c>
      <c r="B23" s="13" t="s">
        <v>136</v>
      </c>
      <c r="C23">
        <v>-1945525.94</v>
      </c>
      <c r="F23">
        <v>-2192000</v>
      </c>
      <c r="N23">
        <v>19044890.620000001</v>
      </c>
    </row>
    <row r="24" spans="1:16" x14ac:dyDescent="0.25">
      <c r="A24" s="12">
        <v>45505</v>
      </c>
      <c r="B24" s="13" t="s">
        <v>258</v>
      </c>
      <c r="C24">
        <v>93248306.760000005</v>
      </c>
      <c r="F24">
        <v>15064675.33</v>
      </c>
      <c r="J24">
        <v>8601255.6799999997</v>
      </c>
    </row>
    <row r="25" spans="1:16" x14ac:dyDescent="0.25">
      <c r="A25" s="12">
        <v>45505</v>
      </c>
      <c r="B25" s="13" t="s">
        <v>259</v>
      </c>
      <c r="C25">
        <v>50927970.420000002</v>
      </c>
      <c r="F25">
        <v>5658551.8200000003</v>
      </c>
      <c r="J25">
        <v>6736260.8899999997</v>
      </c>
    </row>
    <row r="26" spans="1:16" x14ac:dyDescent="0.25">
      <c r="A26" s="12">
        <v>45505</v>
      </c>
      <c r="B26" s="13" t="s">
        <v>260</v>
      </c>
      <c r="C26">
        <v>1038462.46</v>
      </c>
      <c r="F26">
        <v>214960.45</v>
      </c>
    </row>
    <row r="27" spans="1:16" x14ac:dyDescent="0.25">
      <c r="A27" s="12">
        <v>45505</v>
      </c>
      <c r="B27" s="13" t="s">
        <v>261</v>
      </c>
      <c r="C27">
        <v>23141636.949999999</v>
      </c>
      <c r="F27">
        <v>5508097.9800000004</v>
      </c>
      <c r="J27">
        <v>10896822.83</v>
      </c>
      <c r="P27">
        <v>643996.9</v>
      </c>
    </row>
    <row r="28" spans="1:16" x14ac:dyDescent="0.25">
      <c r="A28" s="12">
        <v>45505</v>
      </c>
      <c r="B28" s="13" t="s">
        <v>136</v>
      </c>
      <c r="C28">
        <v>-2045144.64</v>
      </c>
      <c r="F28">
        <v>1487289</v>
      </c>
      <c r="N28">
        <v>6918395.0099999998</v>
      </c>
    </row>
    <row r="29" spans="1:16" x14ac:dyDescent="0.25">
      <c r="A29" s="12">
        <v>45536</v>
      </c>
      <c r="B29" s="13" t="s">
        <v>258</v>
      </c>
      <c r="C29">
        <v>94634344.75</v>
      </c>
      <c r="F29">
        <v>14545596.109999999</v>
      </c>
      <c r="J29">
        <v>5870760.46</v>
      </c>
    </row>
    <row r="30" spans="1:16" x14ac:dyDescent="0.25">
      <c r="A30" s="12">
        <v>45536</v>
      </c>
      <c r="B30" s="13" t="s">
        <v>259</v>
      </c>
      <c r="C30">
        <v>49351196.659999996</v>
      </c>
      <c r="F30">
        <v>5847280.5</v>
      </c>
      <c r="J30">
        <v>10152743.630000001</v>
      </c>
    </row>
    <row r="31" spans="1:16" x14ac:dyDescent="0.25">
      <c r="A31" s="12">
        <v>45536</v>
      </c>
      <c r="B31" s="13" t="s">
        <v>260</v>
      </c>
      <c r="C31">
        <v>933592.84</v>
      </c>
      <c r="F31">
        <v>214960.45</v>
      </c>
    </row>
    <row r="32" spans="1:16" x14ac:dyDescent="0.25">
      <c r="A32" s="12">
        <v>45536</v>
      </c>
      <c r="B32" s="13" t="s">
        <v>261</v>
      </c>
      <c r="C32">
        <v>23235228.48</v>
      </c>
      <c r="F32">
        <v>5337312.8600000003</v>
      </c>
      <c r="J32">
        <v>8047739.8399999999</v>
      </c>
      <c r="P32">
        <v>-1435269.36</v>
      </c>
    </row>
    <row r="33" spans="1:16" x14ac:dyDescent="0.25">
      <c r="A33" s="12">
        <v>45536</v>
      </c>
      <c r="B33" s="13" t="s">
        <v>136</v>
      </c>
      <c r="C33">
        <v>-2020444.25</v>
      </c>
      <c r="F33">
        <v>-2123461</v>
      </c>
      <c r="N33">
        <v>7387146.5899999999</v>
      </c>
    </row>
    <row r="34" spans="1:16" x14ac:dyDescent="0.25">
      <c r="A34" s="12">
        <v>45566</v>
      </c>
      <c r="B34" s="13" t="s">
        <v>258</v>
      </c>
      <c r="C34">
        <v>89345084.469999999</v>
      </c>
      <c r="F34">
        <v>14371120.85</v>
      </c>
      <c r="J34">
        <v>6996153.5199999996</v>
      </c>
    </row>
    <row r="35" spans="1:16" x14ac:dyDescent="0.25">
      <c r="A35" s="12">
        <v>45566</v>
      </c>
      <c r="B35" s="13" t="s">
        <v>259</v>
      </c>
      <c r="C35">
        <v>52084755.060000002</v>
      </c>
      <c r="F35">
        <v>6318675.1100000003</v>
      </c>
      <c r="J35">
        <v>6097643.3799999999</v>
      </c>
    </row>
    <row r="36" spans="1:16" x14ac:dyDescent="0.25">
      <c r="A36" s="12">
        <v>45566</v>
      </c>
      <c r="B36" s="13" t="s">
        <v>260</v>
      </c>
      <c r="C36">
        <v>911691.95</v>
      </c>
      <c r="F36">
        <v>214960.45</v>
      </c>
    </row>
    <row r="37" spans="1:16" x14ac:dyDescent="0.25">
      <c r="A37" s="12">
        <v>45566</v>
      </c>
      <c r="B37" s="13" t="s">
        <v>261</v>
      </c>
      <c r="C37">
        <v>23653198.18</v>
      </c>
      <c r="F37">
        <v>5421227.6200000001</v>
      </c>
      <c r="J37">
        <v>10426733.17</v>
      </c>
      <c r="P37">
        <v>157585.88</v>
      </c>
    </row>
    <row r="38" spans="1:16" x14ac:dyDescent="0.25">
      <c r="A38" s="12">
        <v>45566</v>
      </c>
      <c r="B38" s="13" t="s">
        <v>136</v>
      </c>
      <c r="C38">
        <v>-3512477.48</v>
      </c>
      <c r="F38">
        <v>-2184000</v>
      </c>
      <c r="N38">
        <v>14468999.810000001</v>
      </c>
    </row>
    <row r="39" spans="1:16" x14ac:dyDescent="0.25">
      <c r="A39" s="12">
        <v>45597</v>
      </c>
      <c r="B39" s="13" t="s">
        <v>258</v>
      </c>
      <c r="C39">
        <v>92361521.890000001</v>
      </c>
      <c r="F39">
        <v>16664372.16</v>
      </c>
      <c r="J39">
        <v>6217046.4800000004</v>
      </c>
    </row>
    <row r="40" spans="1:16" x14ac:dyDescent="0.25">
      <c r="A40" s="12">
        <v>45597</v>
      </c>
      <c r="B40" s="13" t="s">
        <v>259</v>
      </c>
      <c r="C40">
        <v>48247675.109999999</v>
      </c>
      <c r="F40">
        <v>5293751.3600000003</v>
      </c>
      <c r="J40">
        <v>5513325.46</v>
      </c>
    </row>
    <row r="41" spans="1:16" x14ac:dyDescent="0.25">
      <c r="A41" s="12">
        <v>45597</v>
      </c>
      <c r="B41" s="13" t="s">
        <v>260</v>
      </c>
      <c r="C41">
        <v>1619848.21</v>
      </c>
      <c r="F41">
        <v>214960.45</v>
      </c>
    </row>
    <row r="42" spans="1:16" x14ac:dyDescent="0.25">
      <c r="A42" s="12">
        <v>45597</v>
      </c>
      <c r="B42" s="13" t="s">
        <v>261</v>
      </c>
      <c r="C42">
        <v>24100088.719999999</v>
      </c>
      <c r="F42">
        <v>5245947.6399999997</v>
      </c>
      <c r="J42">
        <v>14337732.189999999</v>
      </c>
      <c r="P42">
        <v>3052765.39</v>
      </c>
    </row>
    <row r="43" spans="1:16" x14ac:dyDescent="0.25">
      <c r="A43" s="12">
        <v>45597</v>
      </c>
      <c r="B43" s="13" t="s">
        <v>136</v>
      </c>
      <c r="C43">
        <v>-2306827.21</v>
      </c>
      <c r="F43">
        <v>-1520013</v>
      </c>
      <c r="N43">
        <v>15849117.789999999</v>
      </c>
    </row>
    <row r="44" spans="1:16" x14ac:dyDescent="0.25">
      <c r="A44" s="12">
        <v>45627</v>
      </c>
      <c r="B44" s="13" t="s">
        <v>258</v>
      </c>
      <c r="C44">
        <v>90737873.739999995</v>
      </c>
      <c r="F44">
        <v>19039747.920000002</v>
      </c>
      <c r="J44">
        <v>6852380.3200000003</v>
      </c>
    </row>
    <row r="45" spans="1:16" x14ac:dyDescent="0.25">
      <c r="A45" s="12">
        <v>45627</v>
      </c>
      <c r="B45" s="13" t="s">
        <v>259</v>
      </c>
      <c r="C45">
        <v>48003892.759999998</v>
      </c>
      <c r="F45">
        <v>4921787.46</v>
      </c>
      <c r="J45">
        <v>6702015.8600000003</v>
      </c>
    </row>
    <row r="46" spans="1:16" x14ac:dyDescent="0.25">
      <c r="A46" s="12">
        <v>45627</v>
      </c>
      <c r="B46" s="13" t="s">
        <v>260</v>
      </c>
      <c r="C46">
        <v>1092145.47</v>
      </c>
      <c r="F46">
        <v>214960.45</v>
      </c>
    </row>
    <row r="47" spans="1:16" x14ac:dyDescent="0.25">
      <c r="A47" s="12">
        <v>45627</v>
      </c>
      <c r="B47" s="13" t="s">
        <v>261</v>
      </c>
      <c r="C47">
        <v>24313654.02</v>
      </c>
      <c r="F47">
        <v>5156104.58</v>
      </c>
      <c r="J47">
        <v>11342702.73</v>
      </c>
      <c r="P47">
        <v>1004034</v>
      </c>
    </row>
    <row r="48" spans="1:16" x14ac:dyDescent="0.25">
      <c r="A48" s="12">
        <v>45627</v>
      </c>
      <c r="B48" s="13" t="s">
        <v>136</v>
      </c>
      <c r="C48">
        <v>-2042250.97</v>
      </c>
      <c r="F48">
        <v>-4452742</v>
      </c>
      <c r="N48">
        <v>8195929.0999999996</v>
      </c>
    </row>
    <row r="49" spans="1:16" x14ac:dyDescent="0.25">
      <c r="A49" s="12">
        <v>45658</v>
      </c>
      <c r="B49" s="13" t="s">
        <v>258</v>
      </c>
      <c r="C49">
        <v>90886514.980000004</v>
      </c>
      <c r="F49">
        <v>15462133.34</v>
      </c>
      <c r="J49">
        <v>5837726.1200000001</v>
      </c>
    </row>
    <row r="50" spans="1:16" x14ac:dyDescent="0.25">
      <c r="A50" s="12">
        <v>45658</v>
      </c>
      <c r="B50" s="13" t="s">
        <v>259</v>
      </c>
      <c r="C50">
        <v>43271566.630000003</v>
      </c>
      <c r="F50">
        <v>5504393.8300000001</v>
      </c>
      <c r="J50">
        <v>6560905.7400000002</v>
      </c>
    </row>
    <row r="51" spans="1:16" x14ac:dyDescent="0.25">
      <c r="A51" s="12">
        <v>45658</v>
      </c>
      <c r="B51" s="13" t="s">
        <v>260</v>
      </c>
      <c r="C51">
        <v>1079936.53</v>
      </c>
      <c r="F51">
        <v>214960.45</v>
      </c>
    </row>
    <row r="52" spans="1:16" x14ac:dyDescent="0.25">
      <c r="A52" s="12">
        <v>45658</v>
      </c>
      <c r="B52" s="13" t="s">
        <v>261</v>
      </c>
      <c r="C52">
        <v>24394236.710000001</v>
      </c>
      <c r="F52">
        <v>5002575.45</v>
      </c>
      <c r="J52">
        <v>12101732.140000001</v>
      </c>
      <c r="P52">
        <v>1160306.5900000001</v>
      </c>
    </row>
    <row r="53" spans="1:16" x14ac:dyDescent="0.25">
      <c r="A53" s="12">
        <v>45658</v>
      </c>
      <c r="B53" s="13" t="s">
        <v>136</v>
      </c>
      <c r="C53">
        <v>-2341147.14</v>
      </c>
      <c r="F53">
        <v>-3194417</v>
      </c>
      <c r="N53">
        <v>586080.23</v>
      </c>
    </row>
    <row r="54" spans="1:16" x14ac:dyDescent="0.25">
      <c r="A54" s="12">
        <v>45689</v>
      </c>
      <c r="B54" s="13" t="s">
        <v>258</v>
      </c>
      <c r="C54">
        <v>86954481.109999999</v>
      </c>
      <c r="F54">
        <v>15023211.5</v>
      </c>
      <c r="J54">
        <v>7658034.7000000002</v>
      </c>
    </row>
    <row r="55" spans="1:16" x14ac:dyDescent="0.25">
      <c r="A55" s="12">
        <v>45689</v>
      </c>
      <c r="B55" s="13" t="s">
        <v>259</v>
      </c>
      <c r="C55">
        <v>42643034.719999999</v>
      </c>
      <c r="F55">
        <v>4357380.28</v>
      </c>
      <c r="J55">
        <v>8780273.2100000009</v>
      </c>
    </row>
    <row r="56" spans="1:16" x14ac:dyDescent="0.25">
      <c r="A56" s="12">
        <v>45689</v>
      </c>
      <c r="B56" s="13" t="s">
        <v>260</v>
      </c>
      <c r="C56">
        <v>1079207.7</v>
      </c>
      <c r="F56">
        <v>214960.45</v>
      </c>
    </row>
    <row r="57" spans="1:16" x14ac:dyDescent="0.25">
      <c r="A57" s="12">
        <v>45689</v>
      </c>
      <c r="B57" s="13" t="s">
        <v>261</v>
      </c>
      <c r="C57">
        <v>24780723.859999999</v>
      </c>
      <c r="F57">
        <v>4893944.42</v>
      </c>
      <c r="J57">
        <v>12875350.17</v>
      </c>
      <c r="P57">
        <v>1249451.9099999999</v>
      </c>
    </row>
    <row r="58" spans="1:16" x14ac:dyDescent="0.25">
      <c r="A58" s="12">
        <v>45689</v>
      </c>
      <c r="B58" s="13" t="s">
        <v>136</v>
      </c>
      <c r="C58">
        <v>-1923122.53</v>
      </c>
      <c r="F58">
        <v>-2089616</v>
      </c>
      <c r="N58">
        <v>30796505.640000001</v>
      </c>
    </row>
    <row r="59" spans="1:16" x14ac:dyDescent="0.25">
      <c r="A59" s="12">
        <v>45717</v>
      </c>
      <c r="B59" s="13" t="s">
        <v>258</v>
      </c>
      <c r="C59">
        <v>0</v>
      </c>
      <c r="F59">
        <v>5049188.1100000003</v>
      </c>
      <c r="J59">
        <v>6250762.5700000003</v>
      </c>
    </row>
    <row r="60" spans="1:16" x14ac:dyDescent="0.25">
      <c r="A60" s="12">
        <v>45717</v>
      </c>
      <c r="B60" s="13" t="s">
        <v>259</v>
      </c>
      <c r="C60">
        <v>49698939.200000003</v>
      </c>
      <c r="F60">
        <v>11730277.73</v>
      </c>
      <c r="J60">
        <v>10290375.560000001</v>
      </c>
    </row>
    <row r="61" spans="1:16" x14ac:dyDescent="0.25">
      <c r="A61" s="12">
        <v>45717</v>
      </c>
      <c r="B61" s="13" t="s">
        <v>260</v>
      </c>
      <c r="C61">
        <v>0</v>
      </c>
      <c r="F61">
        <v>0</v>
      </c>
    </row>
    <row r="62" spans="1:16" x14ac:dyDescent="0.25">
      <c r="A62" s="12">
        <v>45717</v>
      </c>
      <c r="B62" s="13" t="s">
        <v>261</v>
      </c>
      <c r="C62">
        <v>0</v>
      </c>
      <c r="F62">
        <v>0</v>
      </c>
    </row>
    <row r="63" spans="1:16" x14ac:dyDescent="0.25">
      <c r="A63" s="12">
        <v>45717</v>
      </c>
      <c r="B63" s="13" t="s">
        <v>136</v>
      </c>
      <c r="C63">
        <v>0</v>
      </c>
      <c r="F63">
        <v>0</v>
      </c>
      <c r="N63">
        <v>-714412339.5</v>
      </c>
    </row>
    <row r="64" spans="1:16" x14ac:dyDescent="0.25">
      <c r="A64" s="12">
        <v>45748</v>
      </c>
      <c r="B64" s="13" t="s">
        <v>258</v>
      </c>
      <c r="C64">
        <v>92379176.599999994</v>
      </c>
      <c r="E64">
        <v>91041183.180000007</v>
      </c>
      <c r="F64">
        <v>14010859.5</v>
      </c>
    </row>
    <row r="65" spans="1:14" x14ac:dyDescent="0.25">
      <c r="A65" s="12">
        <v>45748</v>
      </c>
      <c r="B65" s="13" t="s">
        <v>259</v>
      </c>
      <c r="C65">
        <v>44748481.109999999</v>
      </c>
      <c r="E65">
        <v>44100356.979999997</v>
      </c>
      <c r="F65">
        <v>2993618.49</v>
      </c>
    </row>
    <row r="66" spans="1:14" x14ac:dyDescent="0.25">
      <c r="A66" s="12">
        <v>45748</v>
      </c>
      <c r="B66" s="13" t="s">
        <v>260</v>
      </c>
      <c r="C66">
        <v>938594.01</v>
      </c>
      <c r="E66">
        <v>924999.68000000005</v>
      </c>
      <c r="F66">
        <v>217680.38</v>
      </c>
    </row>
    <row r="67" spans="1:14" x14ac:dyDescent="0.25">
      <c r="A67" s="12">
        <v>45748</v>
      </c>
      <c r="B67" s="13" t="s">
        <v>261</v>
      </c>
      <c r="C67">
        <v>25447329.809999999</v>
      </c>
      <c r="E67">
        <v>25078758</v>
      </c>
      <c r="F67">
        <v>5052508.66</v>
      </c>
    </row>
    <row r="68" spans="1:14" x14ac:dyDescent="0.25">
      <c r="A68" s="12">
        <v>45748</v>
      </c>
      <c r="B68" s="13" t="s">
        <v>136</v>
      </c>
      <c r="C68">
        <v>-2000000</v>
      </c>
      <c r="E68">
        <v>-1971032.58</v>
      </c>
      <c r="F68">
        <v>-1834298</v>
      </c>
      <c r="N68">
        <v>14592872.859999999</v>
      </c>
    </row>
    <row r="69" spans="1:14" x14ac:dyDescent="0.25">
      <c r="A69" s="12">
        <v>45778</v>
      </c>
      <c r="B69" s="13" t="s">
        <v>258</v>
      </c>
      <c r="C69">
        <v>91824201.560000002</v>
      </c>
      <c r="E69">
        <v>95698584.079999998</v>
      </c>
      <c r="F69">
        <v>14495304.210000001</v>
      </c>
    </row>
    <row r="70" spans="1:14" x14ac:dyDescent="0.25">
      <c r="A70" s="12">
        <v>45778</v>
      </c>
      <c r="B70" s="13" t="s">
        <v>259</v>
      </c>
      <c r="C70">
        <v>47522974.82</v>
      </c>
      <c r="E70">
        <v>49528134.460000001</v>
      </c>
      <c r="F70">
        <v>3677532.32</v>
      </c>
    </row>
    <row r="71" spans="1:14" x14ac:dyDescent="0.25">
      <c r="A71" s="12">
        <v>45778</v>
      </c>
      <c r="B71" s="13" t="s">
        <v>260</v>
      </c>
      <c r="C71">
        <v>1487994.94</v>
      </c>
      <c r="E71">
        <v>1550778.62</v>
      </c>
      <c r="F71">
        <v>567680.38</v>
      </c>
    </row>
    <row r="72" spans="1:14" x14ac:dyDescent="0.25">
      <c r="A72" s="12">
        <v>45778</v>
      </c>
      <c r="B72" s="13" t="s">
        <v>261</v>
      </c>
      <c r="C72">
        <v>26113220.109999999</v>
      </c>
      <c r="E72">
        <v>27215027.710000001</v>
      </c>
      <c r="F72">
        <v>4772772.4800000004</v>
      </c>
    </row>
    <row r="73" spans="1:14" x14ac:dyDescent="0.25">
      <c r="A73" s="12">
        <v>45778</v>
      </c>
      <c r="B73" s="13" t="s">
        <v>136</v>
      </c>
      <c r="C73">
        <v>-2760275.32</v>
      </c>
      <c r="E73">
        <v>-2876740.94</v>
      </c>
      <c r="F73">
        <v>-2007753</v>
      </c>
      <c r="N73">
        <v>6956607.8200000003</v>
      </c>
    </row>
    <row r="74" spans="1:14" x14ac:dyDescent="0.25">
      <c r="A74" s="12">
        <v>45809</v>
      </c>
      <c r="B74" s="13" t="s">
        <v>258</v>
      </c>
      <c r="C74">
        <v>93642493.640000001</v>
      </c>
      <c r="E74">
        <v>88773565</v>
      </c>
      <c r="F74">
        <v>14320378.369999999</v>
      </c>
    </row>
    <row r="75" spans="1:14" x14ac:dyDescent="0.25">
      <c r="A75" s="12">
        <v>45809</v>
      </c>
      <c r="B75" s="13" t="s">
        <v>259</v>
      </c>
      <c r="C75">
        <v>46406869.030000001</v>
      </c>
      <c r="E75">
        <v>43993950.229999997</v>
      </c>
      <c r="F75">
        <v>4074876.5</v>
      </c>
    </row>
    <row r="76" spans="1:14" x14ac:dyDescent="0.25">
      <c r="A76" s="12">
        <v>45809</v>
      </c>
      <c r="B76" s="13" t="s">
        <v>260</v>
      </c>
      <c r="C76">
        <v>849467.6</v>
      </c>
      <c r="E76">
        <v>805299.65</v>
      </c>
      <c r="F76">
        <v>217680.38</v>
      </c>
    </row>
    <row r="77" spans="1:14" x14ac:dyDescent="0.25">
      <c r="A77" s="12">
        <v>45809</v>
      </c>
      <c r="B77" s="13" t="s">
        <v>261</v>
      </c>
      <c r="C77">
        <v>26264263.120000001</v>
      </c>
      <c r="E77">
        <v>24898656.350000001</v>
      </c>
      <c r="F77">
        <v>4868498.78</v>
      </c>
    </row>
    <row r="78" spans="1:14" x14ac:dyDescent="0.25">
      <c r="A78" s="12">
        <v>45809</v>
      </c>
      <c r="B78" s="13" t="s">
        <v>136</v>
      </c>
      <c r="C78">
        <v>-2099197.27</v>
      </c>
      <c r="E78">
        <v>-1990049.8</v>
      </c>
      <c r="F78">
        <v>-2506000</v>
      </c>
      <c r="N78">
        <v>34397166.909999996</v>
      </c>
    </row>
    <row r="79" spans="1:14" x14ac:dyDescent="0.25">
      <c r="A79" s="12">
        <v>45839</v>
      </c>
      <c r="B79" s="13" t="s">
        <v>258</v>
      </c>
      <c r="C79">
        <v>93963109.629999995</v>
      </c>
      <c r="E79">
        <v>107826855.5</v>
      </c>
      <c r="F79">
        <v>12750826.02</v>
      </c>
    </row>
    <row r="80" spans="1:14" x14ac:dyDescent="0.25">
      <c r="A80" s="12">
        <v>45839</v>
      </c>
      <c r="B80" s="13" t="s">
        <v>259</v>
      </c>
      <c r="C80">
        <v>45977305.759999998</v>
      </c>
      <c r="E80">
        <v>52761007.18</v>
      </c>
      <c r="F80">
        <v>4168336</v>
      </c>
    </row>
    <row r="81" spans="1:14" x14ac:dyDescent="0.25">
      <c r="A81" s="12">
        <v>45839</v>
      </c>
      <c r="B81" s="13" t="s">
        <v>260</v>
      </c>
      <c r="C81">
        <v>811866.53</v>
      </c>
      <c r="E81">
        <v>931653.02</v>
      </c>
      <c r="F81">
        <v>194375</v>
      </c>
    </row>
    <row r="82" spans="1:14" x14ac:dyDescent="0.25">
      <c r="A82" s="12">
        <v>45839</v>
      </c>
      <c r="B82" s="13" t="s">
        <v>261</v>
      </c>
      <c r="C82">
        <v>26813033.170000002</v>
      </c>
      <c r="E82">
        <v>30769150.390000001</v>
      </c>
      <c r="F82">
        <v>4888500.08</v>
      </c>
    </row>
    <row r="83" spans="1:14" x14ac:dyDescent="0.25">
      <c r="A83" s="12">
        <v>45839</v>
      </c>
      <c r="B83" s="13" t="s">
        <v>136</v>
      </c>
      <c r="C83">
        <v>-2103522.92</v>
      </c>
      <c r="E83">
        <v>-2413886.29</v>
      </c>
      <c r="F83">
        <v>-1959028</v>
      </c>
      <c r="N83">
        <v>13287133.220000001</v>
      </c>
    </row>
    <row r="84" spans="1:14" x14ac:dyDescent="0.25">
      <c r="A84" s="12">
        <v>45870</v>
      </c>
      <c r="B84" s="13" t="s">
        <v>258</v>
      </c>
      <c r="C84">
        <v>93227975.170000002</v>
      </c>
      <c r="E84">
        <v>92228169.950000003</v>
      </c>
      <c r="F84">
        <v>14354491.130000001</v>
      </c>
    </row>
    <row r="85" spans="1:14" x14ac:dyDescent="0.25">
      <c r="A85" s="12">
        <v>45870</v>
      </c>
      <c r="B85" s="13" t="s">
        <v>259</v>
      </c>
      <c r="C85">
        <v>48775626.670000002</v>
      </c>
      <c r="E85">
        <v>48252541.990000002</v>
      </c>
      <c r="F85">
        <v>6465935.4100000001</v>
      </c>
    </row>
    <row r="86" spans="1:14" x14ac:dyDescent="0.25">
      <c r="A86" s="12">
        <v>45870</v>
      </c>
      <c r="B86" s="13" t="s">
        <v>260</v>
      </c>
      <c r="C86">
        <v>1175208.19</v>
      </c>
      <c r="E86">
        <v>1162604.8999999999</v>
      </c>
      <c r="F86">
        <v>194375</v>
      </c>
    </row>
    <row r="87" spans="1:14" x14ac:dyDescent="0.25">
      <c r="A87" s="12">
        <v>45870</v>
      </c>
      <c r="B87" s="13" t="s">
        <v>261</v>
      </c>
      <c r="C87">
        <v>26736564.210000001</v>
      </c>
      <c r="E87">
        <v>26449833.149999999</v>
      </c>
      <c r="F87">
        <v>4838473.97</v>
      </c>
    </row>
    <row r="88" spans="1:14" x14ac:dyDescent="0.25">
      <c r="A88" s="12">
        <v>45870</v>
      </c>
      <c r="B88" s="13" t="s">
        <v>136</v>
      </c>
      <c r="C88">
        <v>-1801235.03</v>
      </c>
      <c r="E88">
        <v>-1781918.04</v>
      </c>
      <c r="F88">
        <v>-1992385</v>
      </c>
      <c r="N88">
        <v>34131870.170000002</v>
      </c>
    </row>
    <row r="89" spans="1:14" x14ac:dyDescent="0.25">
      <c r="A89" s="12">
        <v>45901</v>
      </c>
      <c r="B89" s="13" t="s">
        <v>258</v>
      </c>
      <c r="C89">
        <v>91329172.189999998</v>
      </c>
      <c r="E89">
        <v>91955102.109999999</v>
      </c>
      <c r="F89">
        <v>12401311.800000001</v>
      </c>
    </row>
    <row r="90" spans="1:14" x14ac:dyDescent="0.25">
      <c r="A90" s="12">
        <v>45901</v>
      </c>
      <c r="B90" s="13" t="s">
        <v>259</v>
      </c>
      <c r="C90">
        <v>48493304.210000001</v>
      </c>
      <c r="E90">
        <v>48825655.960000001</v>
      </c>
      <c r="F90">
        <v>3994895.45</v>
      </c>
    </row>
    <row r="91" spans="1:14" x14ac:dyDescent="0.25">
      <c r="A91" s="12">
        <v>45901</v>
      </c>
      <c r="B91" s="13" t="s">
        <v>260</v>
      </c>
      <c r="C91">
        <v>931282.51</v>
      </c>
      <c r="E91">
        <v>937665.11</v>
      </c>
      <c r="F91">
        <v>194375</v>
      </c>
    </row>
    <row r="92" spans="1:14" x14ac:dyDescent="0.25">
      <c r="A92" s="12">
        <v>45901</v>
      </c>
      <c r="B92" s="13" t="s">
        <v>261</v>
      </c>
      <c r="C92">
        <v>26178595.18</v>
      </c>
      <c r="E92">
        <v>26358011.739999998</v>
      </c>
      <c r="F92">
        <v>4184827.09</v>
      </c>
    </row>
    <row r="93" spans="1:14" x14ac:dyDescent="0.25">
      <c r="A93" s="12">
        <v>45901</v>
      </c>
      <c r="B93" s="13" t="s">
        <v>136</v>
      </c>
      <c r="C93">
        <v>-1929293.91</v>
      </c>
      <c r="E93">
        <v>-1942516.44</v>
      </c>
      <c r="F93">
        <v>3383837.23</v>
      </c>
      <c r="N93">
        <v>-697957.3</v>
      </c>
    </row>
    <row r="94" spans="1:14" x14ac:dyDescent="0.25">
      <c r="A94" s="12">
        <v>45931</v>
      </c>
      <c r="B94" s="13" t="s">
        <v>258</v>
      </c>
      <c r="C94">
        <v>91970968.769999996</v>
      </c>
      <c r="E94">
        <v>90993214.030000001</v>
      </c>
      <c r="F94">
        <v>12708159.02</v>
      </c>
    </row>
    <row r="95" spans="1:14" x14ac:dyDescent="0.25">
      <c r="A95" s="12">
        <v>45931</v>
      </c>
      <c r="B95" s="13" t="s">
        <v>259</v>
      </c>
      <c r="C95">
        <v>46081103.310000002</v>
      </c>
      <c r="E95">
        <v>45591209.399999999</v>
      </c>
      <c r="F95">
        <v>3634572.31</v>
      </c>
    </row>
    <row r="96" spans="1:14" x14ac:dyDescent="0.25">
      <c r="A96" s="12">
        <v>45931</v>
      </c>
      <c r="B96" s="13" t="s">
        <v>260</v>
      </c>
      <c r="C96">
        <v>1079682.51</v>
      </c>
      <c r="E96">
        <v>1068204.27</v>
      </c>
      <c r="F96">
        <v>194375</v>
      </c>
    </row>
    <row r="97" spans="1:14" x14ac:dyDescent="0.25">
      <c r="A97" s="12">
        <v>45931</v>
      </c>
      <c r="B97" s="13" t="s">
        <v>261</v>
      </c>
      <c r="C97">
        <v>27643427.699999999</v>
      </c>
      <c r="E97">
        <v>27349547</v>
      </c>
      <c r="F97">
        <v>4731653.62</v>
      </c>
    </row>
    <row r="98" spans="1:14" x14ac:dyDescent="0.25">
      <c r="A98" s="12">
        <v>45931</v>
      </c>
      <c r="B98" s="13" t="s">
        <v>136</v>
      </c>
      <c r="C98">
        <v>-2547000</v>
      </c>
      <c r="E98">
        <v>-2519922.5299999998</v>
      </c>
      <c r="F98">
        <v>-2298255</v>
      </c>
      <c r="N98">
        <v>28493819.77</v>
      </c>
    </row>
    <row r="99" spans="1:14" x14ac:dyDescent="0.25">
      <c r="A99" s="12">
        <v>45962</v>
      </c>
      <c r="B99" s="13" t="s">
        <v>258</v>
      </c>
      <c r="C99">
        <v>90253577.719999999</v>
      </c>
      <c r="E99">
        <v>91302358.109999999</v>
      </c>
      <c r="F99">
        <v>14703578.640000001</v>
      </c>
    </row>
    <row r="100" spans="1:14" x14ac:dyDescent="0.25">
      <c r="A100" s="12">
        <v>45962</v>
      </c>
      <c r="B100" s="13" t="s">
        <v>259</v>
      </c>
      <c r="C100">
        <v>45010144.530000001</v>
      </c>
      <c r="E100">
        <v>45533179.280000001</v>
      </c>
      <c r="F100">
        <v>3859427.17</v>
      </c>
    </row>
    <row r="101" spans="1:14" x14ac:dyDescent="0.25">
      <c r="A101" s="12">
        <v>45962</v>
      </c>
      <c r="B101" s="13" t="s">
        <v>260</v>
      </c>
      <c r="C101">
        <v>2157709.42</v>
      </c>
      <c r="E101">
        <v>2182782.81</v>
      </c>
      <c r="F101">
        <v>1265375</v>
      </c>
    </row>
    <row r="102" spans="1:14" x14ac:dyDescent="0.25">
      <c r="A102" s="12">
        <v>45962</v>
      </c>
      <c r="B102" s="13" t="s">
        <v>261</v>
      </c>
      <c r="C102">
        <v>27356236.079999998</v>
      </c>
      <c r="E102">
        <v>27674125.789999999</v>
      </c>
      <c r="F102">
        <v>4885687.32</v>
      </c>
    </row>
    <row r="103" spans="1:14" x14ac:dyDescent="0.25">
      <c r="A103" s="12">
        <v>45962</v>
      </c>
      <c r="B103" s="13" t="s">
        <v>136</v>
      </c>
      <c r="C103">
        <v>-2639467.67</v>
      </c>
      <c r="E103">
        <v>-2670139.27</v>
      </c>
      <c r="F103">
        <v>-2476148</v>
      </c>
      <c r="N103">
        <v>6836433.6100000003</v>
      </c>
    </row>
    <row r="104" spans="1:14" x14ac:dyDescent="0.25">
      <c r="A104" s="12">
        <v>45992</v>
      </c>
      <c r="B104" s="13" t="s">
        <v>258</v>
      </c>
      <c r="C104">
        <v>93539104.590000004</v>
      </c>
      <c r="E104">
        <v>67733320.909999996</v>
      </c>
      <c r="F104">
        <v>13669721.210000001</v>
      </c>
    </row>
    <row r="105" spans="1:14" x14ac:dyDescent="0.25">
      <c r="A105" s="12">
        <v>45992</v>
      </c>
      <c r="B105" s="13" t="s">
        <v>259</v>
      </c>
      <c r="C105">
        <v>51643825.920000002</v>
      </c>
      <c r="E105">
        <v>37396208.240000002</v>
      </c>
      <c r="F105">
        <v>9149765.8200000003</v>
      </c>
    </row>
    <row r="106" spans="1:14" x14ac:dyDescent="0.25">
      <c r="A106" s="12">
        <v>45992</v>
      </c>
      <c r="B106" s="13" t="s">
        <v>260</v>
      </c>
      <c r="C106">
        <v>53778662.25</v>
      </c>
      <c r="E106">
        <v>38942081.009999998</v>
      </c>
      <c r="F106">
        <v>45087125</v>
      </c>
    </row>
    <row r="107" spans="1:14" x14ac:dyDescent="0.25">
      <c r="A107" s="12">
        <v>45992</v>
      </c>
      <c r="B107" s="13" t="s">
        <v>261</v>
      </c>
      <c r="C107">
        <v>26941579.350000001</v>
      </c>
      <c r="E107">
        <v>19508874.370000001</v>
      </c>
      <c r="F107">
        <v>5015843.0599999996</v>
      </c>
    </row>
    <row r="108" spans="1:14" x14ac:dyDescent="0.25">
      <c r="A108" s="12">
        <v>45992</v>
      </c>
      <c r="B108" s="13" t="s">
        <v>136</v>
      </c>
      <c r="C108">
        <v>-2037195.76</v>
      </c>
      <c r="E108">
        <v>-1475169.5</v>
      </c>
      <c r="F108">
        <v>-2653712</v>
      </c>
      <c r="N108">
        <v>-283401.64</v>
      </c>
    </row>
    <row r="109" spans="1:14" x14ac:dyDescent="0.25">
      <c r="A109" s="12">
        <v>46023</v>
      </c>
      <c r="B109" s="13" t="s">
        <v>258</v>
      </c>
      <c r="C109">
        <v>90876611.829999998</v>
      </c>
      <c r="E109">
        <v>75459904.159999996</v>
      </c>
      <c r="F109">
        <v>12704569.970000001</v>
      </c>
    </row>
    <row r="110" spans="1:14" x14ac:dyDescent="0.25">
      <c r="A110" s="12">
        <v>46023</v>
      </c>
      <c r="B110" s="13" t="s">
        <v>259</v>
      </c>
      <c r="C110">
        <v>44527495.079999998</v>
      </c>
      <c r="E110">
        <v>36973655.200000003</v>
      </c>
      <c r="F110">
        <v>5159112.8899999997</v>
      </c>
    </row>
    <row r="111" spans="1:14" x14ac:dyDescent="0.25">
      <c r="A111" s="12">
        <v>46023</v>
      </c>
      <c r="B111" s="13" t="s">
        <v>260</v>
      </c>
      <c r="C111">
        <v>29378388.899999999</v>
      </c>
      <c r="E111">
        <v>24394509.940000001</v>
      </c>
      <c r="F111">
        <v>24393875</v>
      </c>
    </row>
    <row r="112" spans="1:14" x14ac:dyDescent="0.25">
      <c r="A112" s="12">
        <v>46023</v>
      </c>
      <c r="B112" s="13" t="s">
        <v>261</v>
      </c>
      <c r="C112">
        <v>26995058.559999999</v>
      </c>
      <c r="E112">
        <v>22415498.23</v>
      </c>
      <c r="F112">
        <v>5063916.8600000003</v>
      </c>
    </row>
    <row r="113" spans="1:15" x14ac:dyDescent="0.25">
      <c r="A113" s="12">
        <v>46023</v>
      </c>
      <c r="B113" s="13" t="s">
        <v>136</v>
      </c>
      <c r="C113">
        <v>-2351353.81</v>
      </c>
      <c r="E113">
        <v>-1952459.82</v>
      </c>
      <c r="F113">
        <v>-2773000</v>
      </c>
      <c r="N113">
        <v>37059795.090000004</v>
      </c>
    </row>
    <row r="114" spans="1:15" x14ac:dyDescent="0.25">
      <c r="A114" s="12">
        <v>46054</v>
      </c>
      <c r="B114" s="13" t="s">
        <v>258</v>
      </c>
      <c r="C114">
        <v>88024752.609999999</v>
      </c>
      <c r="E114">
        <v>62560461.25</v>
      </c>
      <c r="F114">
        <v>12420253.18</v>
      </c>
    </row>
    <row r="115" spans="1:15" x14ac:dyDescent="0.25">
      <c r="A115" s="12">
        <v>46054</v>
      </c>
      <c r="B115" s="13" t="s">
        <v>259</v>
      </c>
      <c r="C115">
        <v>48197060.829999998</v>
      </c>
      <c r="E115">
        <v>34254346.270000003</v>
      </c>
      <c r="F115">
        <v>4697652.45</v>
      </c>
    </row>
    <row r="116" spans="1:15" x14ac:dyDescent="0.25">
      <c r="A116" s="12">
        <v>46054</v>
      </c>
      <c r="B116" s="13" t="s">
        <v>260</v>
      </c>
      <c r="C116">
        <v>53371865.189999998</v>
      </c>
      <c r="E116">
        <v>37932154.369999997</v>
      </c>
      <c r="F116">
        <v>44301206.729999997</v>
      </c>
    </row>
    <row r="117" spans="1:15" x14ac:dyDescent="0.25">
      <c r="A117" s="12">
        <v>46054</v>
      </c>
      <c r="B117" s="13" t="s">
        <v>261</v>
      </c>
      <c r="C117">
        <v>27244862.09</v>
      </c>
      <c r="E117">
        <v>19363316.440000001</v>
      </c>
      <c r="F117">
        <v>10988379.380000001</v>
      </c>
    </row>
    <row r="118" spans="1:15" x14ac:dyDescent="0.25">
      <c r="A118" s="12">
        <v>46054</v>
      </c>
      <c r="B118" s="13" t="s">
        <v>136</v>
      </c>
      <c r="C118">
        <v>-810386.63</v>
      </c>
      <c r="E118">
        <v>-575953.47</v>
      </c>
      <c r="F118">
        <v>-905000</v>
      </c>
      <c r="N118">
        <v>22584868.02</v>
      </c>
    </row>
    <row r="119" spans="1:15" x14ac:dyDescent="0.25">
      <c r="A119" s="12">
        <v>46082</v>
      </c>
      <c r="B119" s="13" t="s">
        <v>258</v>
      </c>
      <c r="C119">
        <v>115273170.90000001</v>
      </c>
      <c r="E119">
        <v>26089464.690000001</v>
      </c>
      <c r="F119">
        <v>13110692.25</v>
      </c>
    </row>
    <row r="120" spans="1:15" x14ac:dyDescent="0.25">
      <c r="A120" s="12">
        <v>46082</v>
      </c>
      <c r="B120" s="13" t="s">
        <v>259</v>
      </c>
      <c r="C120">
        <v>75867000.650000006</v>
      </c>
      <c r="E120">
        <v>17170772.859999999</v>
      </c>
      <c r="F120">
        <v>6426465.1900000004</v>
      </c>
    </row>
    <row r="121" spans="1:15" x14ac:dyDescent="0.25">
      <c r="A121" s="12">
        <v>46082</v>
      </c>
      <c r="B121" s="13" t="s">
        <v>260</v>
      </c>
      <c r="C121">
        <v>908753.93</v>
      </c>
      <c r="E121">
        <v>205675.82</v>
      </c>
      <c r="F121">
        <v>243119.99</v>
      </c>
    </row>
    <row r="122" spans="1:15" x14ac:dyDescent="0.25">
      <c r="A122" s="12">
        <v>46082</v>
      </c>
      <c r="B122" s="13" t="s">
        <v>261</v>
      </c>
      <c r="C122">
        <v>29642976.66</v>
      </c>
      <c r="E122">
        <v>6709014.6500000004</v>
      </c>
      <c r="F122">
        <v>4603785.7300000004</v>
      </c>
    </row>
    <row r="123" spans="1:15" x14ac:dyDescent="0.25">
      <c r="A123" s="12">
        <v>46082</v>
      </c>
      <c r="B123" s="13" t="s">
        <v>136</v>
      </c>
      <c r="C123">
        <v>-2103099.5099999998</v>
      </c>
      <c r="E123">
        <v>-475988.82</v>
      </c>
      <c r="F123">
        <v>-4905330.4000000004</v>
      </c>
      <c r="N123">
        <v>14654368.609999999</v>
      </c>
    </row>
    <row r="124" spans="1:15" x14ac:dyDescent="0.25">
      <c r="A124" s="12">
        <v>46113</v>
      </c>
      <c r="B124" s="13" t="s">
        <v>258</v>
      </c>
      <c r="C124">
        <v>88803389.900000006</v>
      </c>
      <c r="D124">
        <v>80274532.459999993</v>
      </c>
      <c r="E124">
        <v>86147360.219999999</v>
      </c>
      <c r="F124">
        <v>14797376.029999999</v>
      </c>
    </row>
    <row r="125" spans="1:15" x14ac:dyDescent="0.25">
      <c r="A125" s="12">
        <v>46113</v>
      </c>
      <c r="B125" s="13" t="s">
        <v>259</v>
      </c>
      <c r="C125">
        <v>51748032.659999996</v>
      </c>
      <c r="D125">
        <v>46530148.560000002</v>
      </c>
      <c r="E125">
        <v>50200295.450000003</v>
      </c>
      <c r="F125">
        <v>7551484.3600000003</v>
      </c>
    </row>
    <row r="126" spans="1:15" x14ac:dyDescent="0.25">
      <c r="A126" s="12">
        <v>46113</v>
      </c>
      <c r="B126" s="13" t="s">
        <v>260</v>
      </c>
      <c r="C126">
        <v>933254.02</v>
      </c>
      <c r="D126">
        <v>936088.9</v>
      </c>
      <c r="E126">
        <v>905341.23</v>
      </c>
      <c r="F126">
        <v>194375</v>
      </c>
    </row>
    <row r="127" spans="1:15" x14ac:dyDescent="0.25">
      <c r="A127" s="12">
        <v>46113</v>
      </c>
      <c r="B127" s="13" t="s">
        <v>261</v>
      </c>
      <c r="C127">
        <v>28581792.039999999</v>
      </c>
      <c r="D127">
        <v>28894159.210000001</v>
      </c>
      <c r="E127">
        <v>27726936.300000001</v>
      </c>
      <c r="F127">
        <v>4556077.53</v>
      </c>
    </row>
    <row r="128" spans="1:15" x14ac:dyDescent="0.25">
      <c r="A128" s="12">
        <v>46113</v>
      </c>
      <c r="B128" s="13" t="s">
        <v>136</v>
      </c>
      <c r="C128">
        <v>-3573223.58</v>
      </c>
      <c r="D128">
        <v>-2953301.12</v>
      </c>
      <c r="E128">
        <v>-3466351.67</v>
      </c>
      <c r="F128">
        <v>-73002.539999999994</v>
      </c>
      <c r="N128">
        <v>21926019.510000002</v>
      </c>
      <c r="O128">
        <v>-26917730.620000001</v>
      </c>
    </row>
  </sheetData>
  <autoFilter ref="A3:P128" xr:uid="{00000000-0001-0000-0100-000000000000}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96127"/>
  </sheetPr>
  <dimension ref="A1:F152"/>
  <sheetViews>
    <sheetView workbookViewId="0">
      <pane ySplit="4" topLeftCell="A109" activePane="bottomLeft" state="frozen"/>
      <selection pane="bottomLeft" activeCell="D151" sqref="D151"/>
    </sheetView>
  </sheetViews>
  <sheetFormatPr defaultRowHeight="15" x14ac:dyDescent="0.25"/>
  <cols>
    <col min="1" max="1" width="12" customWidth="1"/>
    <col min="2" max="2" width="20" customWidth="1"/>
    <col min="3" max="3" width="34" customWidth="1"/>
    <col min="4" max="6" width="14" customWidth="1"/>
  </cols>
  <sheetData>
    <row r="1" spans="1:6" ht="27.95" customHeight="1" x14ac:dyDescent="0.25">
      <c r="A1" s="46" t="s">
        <v>83</v>
      </c>
      <c r="B1" s="40"/>
      <c r="C1" s="40"/>
      <c r="D1" s="40"/>
      <c r="E1" s="40"/>
      <c r="F1" s="40"/>
    </row>
    <row r="2" spans="1:6" ht="18" customHeight="1" x14ac:dyDescent="0.25">
      <c r="A2" s="39" t="s">
        <v>84</v>
      </c>
      <c r="B2" s="40"/>
      <c r="C2" s="40"/>
      <c r="D2" s="40"/>
      <c r="E2" s="40"/>
      <c r="F2" s="40"/>
    </row>
    <row r="3" spans="1:6" ht="36" customHeight="1" x14ac:dyDescent="0.25">
      <c r="A3" s="3" t="s">
        <v>63</v>
      </c>
      <c r="B3" s="3" t="s">
        <v>64</v>
      </c>
      <c r="C3" s="3" t="s">
        <v>85</v>
      </c>
      <c r="D3" s="3" t="s">
        <v>86</v>
      </c>
      <c r="E3" s="3" t="s">
        <v>87</v>
      </c>
      <c r="F3" s="3" t="s">
        <v>88</v>
      </c>
    </row>
    <row r="4" spans="1:6" ht="32.1" customHeight="1" x14ac:dyDescent="0.25">
      <c r="A4" s="4" t="s">
        <v>89</v>
      </c>
      <c r="B4" s="4" t="s">
        <v>90</v>
      </c>
      <c r="C4" s="4" t="s">
        <v>91</v>
      </c>
      <c r="D4" s="4">
        <v>18360613.100000001</v>
      </c>
      <c r="E4" s="4"/>
      <c r="F4" s="4" t="s">
        <v>92</v>
      </c>
    </row>
    <row r="5" spans="1:6" x14ac:dyDescent="0.25">
      <c r="A5" t="s">
        <v>89</v>
      </c>
      <c r="B5" t="s">
        <v>90</v>
      </c>
      <c r="C5" t="s">
        <v>93</v>
      </c>
      <c r="D5">
        <v>2211379.71</v>
      </c>
    </row>
    <row r="6" spans="1:6" x14ac:dyDescent="0.25">
      <c r="A6" t="s">
        <v>89</v>
      </c>
      <c r="B6" t="s">
        <v>90</v>
      </c>
      <c r="C6" t="s">
        <v>94</v>
      </c>
      <c r="D6">
        <v>2627052.86</v>
      </c>
    </row>
    <row r="7" spans="1:6" x14ac:dyDescent="0.25">
      <c r="A7" t="s">
        <v>89</v>
      </c>
      <c r="B7" t="s">
        <v>90</v>
      </c>
      <c r="C7" t="s">
        <v>95</v>
      </c>
      <c r="D7">
        <v>13947533.51</v>
      </c>
    </row>
    <row r="8" spans="1:6" x14ac:dyDescent="0.25">
      <c r="A8" t="s">
        <v>89</v>
      </c>
      <c r="B8" t="s">
        <v>90</v>
      </c>
      <c r="C8" t="s">
        <v>96</v>
      </c>
      <c r="D8">
        <v>2659382.0099999998</v>
      </c>
    </row>
    <row r="9" spans="1:6" x14ac:dyDescent="0.25">
      <c r="A9" t="s">
        <v>97</v>
      </c>
      <c r="B9" t="s">
        <v>90</v>
      </c>
      <c r="C9" t="s">
        <v>98</v>
      </c>
      <c r="D9">
        <v>21343688.23</v>
      </c>
    </row>
    <row r="10" spans="1:6" x14ac:dyDescent="0.25">
      <c r="A10" t="s">
        <v>97</v>
      </c>
      <c r="B10" t="s">
        <v>90</v>
      </c>
      <c r="C10" t="s">
        <v>91</v>
      </c>
      <c r="D10">
        <v>19186821.82</v>
      </c>
    </row>
    <row r="11" spans="1:6" x14ac:dyDescent="0.25">
      <c r="A11" t="s">
        <v>97</v>
      </c>
      <c r="B11" t="s">
        <v>90</v>
      </c>
      <c r="C11" t="s">
        <v>93</v>
      </c>
      <c r="D11">
        <v>3344483.6</v>
      </c>
    </row>
    <row r="12" spans="1:6" x14ac:dyDescent="0.25">
      <c r="A12" t="s">
        <v>97</v>
      </c>
      <c r="B12" t="s">
        <v>90</v>
      </c>
      <c r="C12" t="s">
        <v>94</v>
      </c>
      <c r="D12">
        <v>2930232.47</v>
      </c>
    </row>
    <row r="13" spans="1:6" x14ac:dyDescent="0.25">
      <c r="A13" t="s">
        <v>97</v>
      </c>
      <c r="B13" t="s">
        <v>90</v>
      </c>
      <c r="C13" t="s">
        <v>95</v>
      </c>
      <c r="D13">
        <v>13350890.32</v>
      </c>
    </row>
    <row r="14" spans="1:6" x14ac:dyDescent="0.25">
      <c r="A14" t="s">
        <v>97</v>
      </c>
      <c r="B14" t="s">
        <v>90</v>
      </c>
      <c r="C14" t="s">
        <v>96</v>
      </c>
      <c r="D14">
        <v>5622377.9800000004</v>
      </c>
    </row>
    <row r="15" spans="1:6" x14ac:dyDescent="0.25">
      <c r="A15" t="s">
        <v>99</v>
      </c>
      <c r="B15" t="s">
        <v>90</v>
      </c>
      <c r="C15" t="s">
        <v>98</v>
      </c>
      <c r="D15">
        <v>23828837.030000001</v>
      </c>
    </row>
    <row r="16" spans="1:6" x14ac:dyDescent="0.25">
      <c r="A16" t="s">
        <v>99</v>
      </c>
      <c r="B16" t="s">
        <v>90</v>
      </c>
      <c r="C16" t="s">
        <v>91</v>
      </c>
      <c r="D16">
        <v>16570471.960000001</v>
      </c>
    </row>
    <row r="17" spans="1:4" x14ac:dyDescent="0.25">
      <c r="A17" t="s">
        <v>99</v>
      </c>
      <c r="B17" t="s">
        <v>90</v>
      </c>
      <c r="C17" t="s">
        <v>93</v>
      </c>
      <c r="D17">
        <v>4887637.55</v>
      </c>
    </row>
    <row r="18" spans="1:4" x14ac:dyDescent="0.25">
      <c r="A18" t="s">
        <v>99</v>
      </c>
      <c r="B18" t="s">
        <v>90</v>
      </c>
      <c r="C18" t="s">
        <v>94</v>
      </c>
      <c r="D18">
        <v>3166422.35</v>
      </c>
    </row>
    <row r="19" spans="1:4" x14ac:dyDescent="0.25">
      <c r="A19" t="s">
        <v>99</v>
      </c>
      <c r="B19" t="s">
        <v>90</v>
      </c>
      <c r="C19" t="s">
        <v>95</v>
      </c>
      <c r="D19">
        <v>3535620.03</v>
      </c>
    </row>
    <row r="20" spans="1:4" x14ac:dyDescent="0.25">
      <c r="A20" t="s">
        <v>99</v>
      </c>
      <c r="B20" t="s">
        <v>90</v>
      </c>
      <c r="C20" t="s">
        <v>96</v>
      </c>
      <c r="D20">
        <v>1383750.15</v>
      </c>
    </row>
    <row r="21" spans="1:4" x14ac:dyDescent="0.25">
      <c r="A21" t="s">
        <v>100</v>
      </c>
      <c r="B21" t="s">
        <v>90</v>
      </c>
      <c r="C21" t="s">
        <v>98</v>
      </c>
      <c r="D21">
        <v>10208566.51</v>
      </c>
    </row>
    <row r="22" spans="1:4" x14ac:dyDescent="0.25">
      <c r="A22" t="s">
        <v>100</v>
      </c>
      <c r="B22" t="s">
        <v>90</v>
      </c>
      <c r="C22" t="s">
        <v>91</v>
      </c>
      <c r="D22">
        <v>16021489.689999999</v>
      </c>
    </row>
    <row r="23" spans="1:4" x14ac:dyDescent="0.25">
      <c r="A23" t="s">
        <v>100</v>
      </c>
      <c r="B23" t="s">
        <v>90</v>
      </c>
      <c r="C23" t="s">
        <v>93</v>
      </c>
      <c r="D23">
        <v>3568328.36</v>
      </c>
    </row>
    <row r="24" spans="1:4" x14ac:dyDescent="0.25">
      <c r="A24" t="s">
        <v>100</v>
      </c>
      <c r="B24" t="s">
        <v>90</v>
      </c>
      <c r="C24" t="s">
        <v>94</v>
      </c>
      <c r="D24">
        <v>3811484.56</v>
      </c>
    </row>
    <row r="25" spans="1:4" x14ac:dyDescent="0.25">
      <c r="A25" t="s">
        <v>100</v>
      </c>
      <c r="B25" t="s">
        <v>90</v>
      </c>
      <c r="C25" t="s">
        <v>95</v>
      </c>
      <c r="D25">
        <v>22788859.41</v>
      </c>
    </row>
    <row r="26" spans="1:4" x14ac:dyDescent="0.25">
      <c r="A26" t="s">
        <v>100</v>
      </c>
      <c r="B26" t="s">
        <v>90</v>
      </c>
      <c r="C26" t="s">
        <v>96</v>
      </c>
      <c r="D26">
        <v>13754021.810000001</v>
      </c>
    </row>
    <row r="27" spans="1:4" x14ac:dyDescent="0.25">
      <c r="A27" t="s">
        <v>101</v>
      </c>
      <c r="B27" t="s">
        <v>90</v>
      </c>
      <c r="C27" t="s">
        <v>98</v>
      </c>
      <c r="D27">
        <v>14732116.5</v>
      </c>
    </row>
    <row r="28" spans="1:4" x14ac:dyDescent="0.25">
      <c r="A28" t="s">
        <v>101</v>
      </c>
      <c r="B28" t="s">
        <v>90</v>
      </c>
      <c r="C28" t="s">
        <v>91</v>
      </c>
      <c r="D28">
        <v>19357537.640000001</v>
      </c>
    </row>
    <row r="29" spans="1:4" x14ac:dyDescent="0.25">
      <c r="A29" t="s">
        <v>101</v>
      </c>
      <c r="B29" t="s">
        <v>90</v>
      </c>
      <c r="C29" t="s">
        <v>93</v>
      </c>
      <c r="D29">
        <v>4409853.3</v>
      </c>
    </row>
    <row r="30" spans="1:4" x14ac:dyDescent="0.25">
      <c r="A30" t="s">
        <v>101</v>
      </c>
      <c r="B30" t="s">
        <v>90</v>
      </c>
      <c r="C30" t="s">
        <v>94</v>
      </c>
      <c r="D30">
        <v>3420359.47</v>
      </c>
    </row>
    <row r="31" spans="1:4" x14ac:dyDescent="0.25">
      <c r="A31" t="s">
        <v>101</v>
      </c>
      <c r="B31" t="s">
        <v>90</v>
      </c>
      <c r="C31" t="s">
        <v>95</v>
      </c>
      <c r="D31">
        <v>20558250.170000002</v>
      </c>
    </row>
    <row r="32" spans="1:4" x14ac:dyDescent="0.25">
      <c r="A32" t="s">
        <v>101</v>
      </c>
      <c r="B32" t="s">
        <v>90</v>
      </c>
      <c r="C32" t="s">
        <v>96</v>
      </c>
      <c r="D32">
        <v>1628799.07</v>
      </c>
    </row>
    <row r="33" spans="1:4" x14ac:dyDescent="0.25">
      <c r="A33" t="s">
        <v>102</v>
      </c>
      <c r="B33" t="s">
        <v>90</v>
      </c>
      <c r="C33" t="s">
        <v>98</v>
      </c>
      <c r="D33">
        <v>19108088.09</v>
      </c>
    </row>
    <row r="34" spans="1:4" x14ac:dyDescent="0.25">
      <c r="A34" t="s">
        <v>102</v>
      </c>
      <c r="B34" t="s">
        <v>90</v>
      </c>
      <c r="C34" t="s">
        <v>91</v>
      </c>
      <c r="D34">
        <v>15507695.800000001</v>
      </c>
    </row>
    <row r="35" spans="1:4" x14ac:dyDescent="0.25">
      <c r="A35" t="s">
        <v>102</v>
      </c>
      <c r="B35" t="s">
        <v>90</v>
      </c>
      <c r="C35" t="s">
        <v>93</v>
      </c>
      <c r="D35">
        <v>2858170.36</v>
      </c>
    </row>
    <row r="36" spans="1:4" x14ac:dyDescent="0.25">
      <c r="A36" t="s">
        <v>102</v>
      </c>
      <c r="B36" t="s">
        <v>90</v>
      </c>
      <c r="C36" t="s">
        <v>94</v>
      </c>
      <c r="D36">
        <v>2723707.7</v>
      </c>
    </row>
    <row r="37" spans="1:4" x14ac:dyDescent="0.25">
      <c r="A37" t="s">
        <v>102</v>
      </c>
      <c r="B37" t="s">
        <v>90</v>
      </c>
      <c r="C37" t="s">
        <v>95</v>
      </c>
      <c r="D37">
        <v>20781703.149999999</v>
      </c>
    </row>
    <row r="38" spans="1:4" x14ac:dyDescent="0.25">
      <c r="A38" t="s">
        <v>102</v>
      </c>
      <c r="B38" t="s">
        <v>90</v>
      </c>
      <c r="C38" t="s">
        <v>96</v>
      </c>
      <c r="D38">
        <v>13114807.85</v>
      </c>
    </row>
    <row r="39" spans="1:4" x14ac:dyDescent="0.25">
      <c r="A39" t="s">
        <v>103</v>
      </c>
      <c r="B39" t="s">
        <v>90</v>
      </c>
      <c r="C39" t="s">
        <v>98</v>
      </c>
      <c r="D39">
        <v>18085266.41</v>
      </c>
    </row>
    <row r="40" spans="1:4" x14ac:dyDescent="0.25">
      <c r="A40" t="s">
        <v>103</v>
      </c>
      <c r="B40" t="s">
        <v>90</v>
      </c>
      <c r="C40" t="s">
        <v>91</v>
      </c>
      <c r="D40">
        <v>16466662.550000001</v>
      </c>
    </row>
    <row r="41" spans="1:4" x14ac:dyDescent="0.25">
      <c r="A41" t="s">
        <v>103</v>
      </c>
      <c r="B41" t="s">
        <v>90</v>
      </c>
      <c r="C41" t="s">
        <v>93</v>
      </c>
      <c r="D41">
        <v>3495388.17</v>
      </c>
    </row>
    <row r="42" spans="1:4" x14ac:dyDescent="0.25">
      <c r="A42" t="s">
        <v>103</v>
      </c>
      <c r="B42" t="s">
        <v>90</v>
      </c>
      <c r="C42" t="s">
        <v>94</v>
      </c>
      <c r="D42">
        <v>3722735.42</v>
      </c>
    </row>
    <row r="43" spans="1:4" x14ac:dyDescent="0.25">
      <c r="A43" t="s">
        <v>103</v>
      </c>
      <c r="B43" t="s">
        <v>90</v>
      </c>
      <c r="C43" t="s">
        <v>95</v>
      </c>
      <c r="D43">
        <v>19710081.739999998</v>
      </c>
    </row>
    <row r="44" spans="1:4" x14ac:dyDescent="0.25">
      <c r="A44" t="s">
        <v>103</v>
      </c>
      <c r="B44" t="s">
        <v>90</v>
      </c>
      <c r="C44" t="s">
        <v>96</v>
      </c>
      <c r="D44">
        <v>452133.42</v>
      </c>
    </row>
    <row r="45" spans="1:4" x14ac:dyDescent="0.25">
      <c r="A45" t="s">
        <v>104</v>
      </c>
      <c r="B45" t="s">
        <v>90</v>
      </c>
      <c r="C45" t="s">
        <v>98</v>
      </c>
      <c r="D45">
        <v>21495999.129999999</v>
      </c>
    </row>
    <row r="46" spans="1:4" x14ac:dyDescent="0.25">
      <c r="A46" t="s">
        <v>104</v>
      </c>
      <c r="B46" t="s">
        <v>90</v>
      </c>
      <c r="C46" t="s">
        <v>91</v>
      </c>
      <c r="D46">
        <v>16651626.15</v>
      </c>
    </row>
    <row r="47" spans="1:4" x14ac:dyDescent="0.25">
      <c r="A47" t="s">
        <v>104</v>
      </c>
      <c r="B47" t="s">
        <v>90</v>
      </c>
      <c r="C47" t="s">
        <v>93</v>
      </c>
      <c r="D47">
        <v>3086106.14</v>
      </c>
    </row>
    <row r="48" spans="1:4" x14ac:dyDescent="0.25">
      <c r="A48" t="s">
        <v>104</v>
      </c>
      <c r="B48" t="s">
        <v>90</v>
      </c>
      <c r="C48" t="s">
        <v>94</v>
      </c>
      <c r="D48">
        <v>3293672.38</v>
      </c>
    </row>
    <row r="49" spans="1:4" x14ac:dyDescent="0.25">
      <c r="A49" t="s">
        <v>104</v>
      </c>
      <c r="B49" t="s">
        <v>90</v>
      </c>
      <c r="C49" t="s">
        <v>95</v>
      </c>
      <c r="D49">
        <v>14837999.52</v>
      </c>
    </row>
    <row r="50" spans="1:4" x14ac:dyDescent="0.25">
      <c r="A50" t="s">
        <v>104</v>
      </c>
      <c r="B50" t="s">
        <v>90</v>
      </c>
      <c r="C50" t="s">
        <v>96</v>
      </c>
      <c r="D50">
        <v>2174142.0499999998</v>
      </c>
    </row>
    <row r="51" spans="1:4" x14ac:dyDescent="0.25">
      <c r="A51" t="s">
        <v>105</v>
      </c>
      <c r="B51" t="s">
        <v>90</v>
      </c>
      <c r="C51" t="s">
        <v>98</v>
      </c>
      <c r="D51">
        <v>14963703.42</v>
      </c>
    </row>
    <row r="52" spans="1:4" x14ac:dyDescent="0.25">
      <c r="A52" t="s">
        <v>105</v>
      </c>
      <c r="B52" t="s">
        <v>90</v>
      </c>
      <c r="C52" t="s">
        <v>91</v>
      </c>
      <c r="D52">
        <v>17151638.469999999</v>
      </c>
    </row>
    <row r="53" spans="1:4" x14ac:dyDescent="0.25">
      <c r="A53" t="s">
        <v>105</v>
      </c>
      <c r="B53" t="s">
        <v>90</v>
      </c>
      <c r="C53" t="s">
        <v>93</v>
      </c>
      <c r="D53">
        <v>3372051.57</v>
      </c>
    </row>
    <row r="54" spans="1:4" x14ac:dyDescent="0.25">
      <c r="A54" t="s">
        <v>105</v>
      </c>
      <c r="B54" t="s">
        <v>90</v>
      </c>
      <c r="C54" t="s">
        <v>94</v>
      </c>
      <c r="D54">
        <v>2838545.62</v>
      </c>
    </row>
    <row r="55" spans="1:4" x14ac:dyDescent="0.25">
      <c r="A55" t="s">
        <v>105</v>
      </c>
      <c r="B55" t="s">
        <v>90</v>
      </c>
      <c r="C55" t="s">
        <v>95</v>
      </c>
      <c r="D55">
        <v>27809623.129999999</v>
      </c>
    </row>
    <row r="56" spans="1:4" x14ac:dyDescent="0.25">
      <c r="A56" t="s">
        <v>105</v>
      </c>
      <c r="B56" t="s">
        <v>90</v>
      </c>
      <c r="C56" t="s">
        <v>96</v>
      </c>
      <c r="D56">
        <v>2423485.7400000002</v>
      </c>
    </row>
    <row r="57" spans="1:4" x14ac:dyDescent="0.25">
      <c r="A57" t="s">
        <v>106</v>
      </c>
      <c r="B57" t="s">
        <v>90</v>
      </c>
      <c r="C57" t="s">
        <v>98</v>
      </c>
      <c r="D57">
        <v>23187540.379999999</v>
      </c>
    </row>
    <row r="58" spans="1:4" x14ac:dyDescent="0.25">
      <c r="A58" t="s">
        <v>106</v>
      </c>
      <c r="B58" t="s">
        <v>90</v>
      </c>
      <c r="C58" t="s">
        <v>91</v>
      </c>
      <c r="D58">
        <v>21926884.039999999</v>
      </c>
    </row>
    <row r="59" spans="1:4" x14ac:dyDescent="0.25">
      <c r="A59" t="s">
        <v>106</v>
      </c>
      <c r="B59" t="s">
        <v>90</v>
      </c>
      <c r="C59" t="s">
        <v>93</v>
      </c>
      <c r="D59">
        <v>3566315.27</v>
      </c>
    </row>
    <row r="60" spans="1:4" x14ac:dyDescent="0.25">
      <c r="A60" t="s">
        <v>106</v>
      </c>
      <c r="B60" t="s">
        <v>90</v>
      </c>
      <c r="C60" t="s">
        <v>94</v>
      </c>
      <c r="D60">
        <v>3894474.13</v>
      </c>
    </row>
    <row r="61" spans="1:4" x14ac:dyDescent="0.25">
      <c r="A61" t="s">
        <v>106</v>
      </c>
      <c r="B61" t="s">
        <v>90</v>
      </c>
      <c r="C61" t="s">
        <v>95</v>
      </c>
      <c r="D61">
        <v>22771562.719999999</v>
      </c>
    </row>
    <row r="62" spans="1:4" x14ac:dyDescent="0.25">
      <c r="A62" t="s">
        <v>106</v>
      </c>
      <c r="B62" t="s">
        <v>90</v>
      </c>
      <c r="C62" t="s">
        <v>96</v>
      </c>
      <c r="D62">
        <v>6391661.6600000001</v>
      </c>
    </row>
    <row r="63" spans="1:4" x14ac:dyDescent="0.25">
      <c r="A63" t="s">
        <v>107</v>
      </c>
      <c r="B63" t="s">
        <v>90</v>
      </c>
      <c r="C63" t="s">
        <v>98</v>
      </c>
      <c r="D63">
        <v>18860378.670000002</v>
      </c>
    </row>
    <row r="64" spans="1:4" x14ac:dyDescent="0.25">
      <c r="A64" t="s">
        <v>107</v>
      </c>
      <c r="B64" t="s">
        <v>90</v>
      </c>
      <c r="C64" t="s">
        <v>91</v>
      </c>
      <c r="D64">
        <v>22153363.079999998</v>
      </c>
    </row>
    <row r="65" spans="1:4" x14ac:dyDescent="0.25">
      <c r="A65" t="s">
        <v>107</v>
      </c>
      <c r="B65" t="s">
        <v>90</v>
      </c>
      <c r="C65" t="s">
        <v>93</v>
      </c>
      <c r="D65">
        <v>5941443.8399999999</v>
      </c>
    </row>
    <row r="66" spans="1:4" x14ac:dyDescent="0.25">
      <c r="A66" t="s">
        <v>107</v>
      </c>
      <c r="B66" t="s">
        <v>90</v>
      </c>
      <c r="C66" t="s">
        <v>94</v>
      </c>
      <c r="D66">
        <v>3349073.7</v>
      </c>
    </row>
    <row r="67" spans="1:4" x14ac:dyDescent="0.25">
      <c r="A67" t="s">
        <v>107</v>
      </c>
      <c r="B67" t="s">
        <v>90</v>
      </c>
      <c r="C67" t="s">
        <v>95</v>
      </c>
      <c r="D67">
        <v>-5157480.97</v>
      </c>
    </row>
    <row r="68" spans="1:4" x14ac:dyDescent="0.25">
      <c r="A68" t="s">
        <v>107</v>
      </c>
      <c r="B68" t="s">
        <v>90</v>
      </c>
      <c r="C68" t="s">
        <v>96</v>
      </c>
      <c r="D68">
        <v>-6288972.6100000003</v>
      </c>
    </row>
    <row r="69" spans="1:4" x14ac:dyDescent="0.25">
      <c r="A69" t="s">
        <v>108</v>
      </c>
      <c r="B69" t="s">
        <v>90</v>
      </c>
      <c r="C69" t="s">
        <v>98</v>
      </c>
      <c r="D69">
        <v>556124989.39999998</v>
      </c>
    </row>
    <row r="70" spans="1:4" x14ac:dyDescent="0.25">
      <c r="A70" t="s">
        <v>108</v>
      </c>
      <c r="B70" t="s">
        <v>90</v>
      </c>
      <c r="C70" t="s">
        <v>91</v>
      </c>
      <c r="D70">
        <v>54874904.869999997</v>
      </c>
    </row>
    <row r="71" spans="1:4" x14ac:dyDescent="0.25">
      <c r="A71" t="s">
        <v>108</v>
      </c>
      <c r="B71" t="s">
        <v>90</v>
      </c>
      <c r="C71" t="s">
        <v>93</v>
      </c>
      <c r="D71">
        <v>10652198.939999999</v>
      </c>
    </row>
    <row r="72" spans="1:4" x14ac:dyDescent="0.25">
      <c r="A72" t="s">
        <v>108</v>
      </c>
      <c r="B72" t="s">
        <v>90</v>
      </c>
      <c r="C72" t="s">
        <v>94</v>
      </c>
      <c r="D72">
        <v>7782109.4400000004</v>
      </c>
    </row>
    <row r="73" spans="1:4" x14ac:dyDescent="0.25">
      <c r="A73" t="s">
        <v>108</v>
      </c>
      <c r="B73" t="s">
        <v>90</v>
      </c>
      <c r="C73" t="s">
        <v>95</v>
      </c>
      <c r="D73">
        <v>103084175.02</v>
      </c>
    </row>
    <row r="74" spans="1:4" x14ac:dyDescent="0.25">
      <c r="A74" t="s">
        <v>108</v>
      </c>
      <c r="B74" t="s">
        <v>90</v>
      </c>
      <c r="C74" t="s">
        <v>96</v>
      </c>
      <c r="D74">
        <v>-127592.47</v>
      </c>
    </row>
    <row r="75" spans="1:4" x14ac:dyDescent="0.25">
      <c r="A75" t="s">
        <v>109</v>
      </c>
      <c r="B75" t="s">
        <v>90</v>
      </c>
      <c r="C75" t="s">
        <v>98</v>
      </c>
      <c r="D75">
        <v>19177303.91</v>
      </c>
    </row>
    <row r="76" spans="1:4" x14ac:dyDescent="0.25">
      <c r="A76" t="s">
        <v>109</v>
      </c>
      <c r="B76" t="s">
        <v>90</v>
      </c>
      <c r="C76" t="s">
        <v>91</v>
      </c>
      <c r="D76">
        <v>22798838.079999998</v>
      </c>
    </row>
    <row r="77" spans="1:4" x14ac:dyDescent="0.25">
      <c r="A77" t="s">
        <v>109</v>
      </c>
      <c r="B77" t="s">
        <v>90</v>
      </c>
      <c r="C77" t="s">
        <v>93</v>
      </c>
      <c r="D77">
        <v>2968556.69</v>
      </c>
    </row>
    <row r="78" spans="1:4" x14ac:dyDescent="0.25">
      <c r="A78" t="s">
        <v>109</v>
      </c>
      <c r="B78" t="s">
        <v>90</v>
      </c>
      <c r="C78" t="s">
        <v>94</v>
      </c>
      <c r="D78">
        <v>3475330.73</v>
      </c>
    </row>
    <row r="79" spans="1:4" x14ac:dyDescent="0.25">
      <c r="A79" t="s">
        <v>109</v>
      </c>
      <c r="B79" t="s">
        <v>90</v>
      </c>
      <c r="C79" t="s">
        <v>95</v>
      </c>
      <c r="D79">
        <v>15329485.199999999</v>
      </c>
    </row>
    <row r="80" spans="1:4" x14ac:dyDescent="0.25">
      <c r="A80" t="s">
        <v>109</v>
      </c>
      <c r="B80" t="s">
        <v>90</v>
      </c>
      <c r="C80" t="s">
        <v>96</v>
      </c>
      <c r="D80">
        <v>2558987.34</v>
      </c>
    </row>
    <row r="81" spans="1:4" x14ac:dyDescent="0.25">
      <c r="A81" t="s">
        <v>110</v>
      </c>
      <c r="B81" t="s">
        <v>90</v>
      </c>
      <c r="C81" t="s">
        <v>98</v>
      </c>
      <c r="D81">
        <v>16866294.789999999</v>
      </c>
    </row>
    <row r="82" spans="1:4" x14ac:dyDescent="0.25">
      <c r="A82" t="s">
        <v>110</v>
      </c>
      <c r="B82" t="s">
        <v>90</v>
      </c>
      <c r="C82" t="s">
        <v>91</v>
      </c>
      <c r="D82">
        <v>24192810.219999999</v>
      </c>
    </row>
    <row r="83" spans="1:4" x14ac:dyDescent="0.25">
      <c r="A83" t="s">
        <v>110</v>
      </c>
      <c r="B83" t="s">
        <v>90</v>
      </c>
      <c r="C83" t="s">
        <v>93</v>
      </c>
      <c r="D83">
        <v>1824398.93</v>
      </c>
    </row>
    <row r="84" spans="1:4" x14ac:dyDescent="0.25">
      <c r="A84" t="s">
        <v>110</v>
      </c>
      <c r="B84" t="s">
        <v>90</v>
      </c>
      <c r="C84" t="s">
        <v>94</v>
      </c>
      <c r="D84">
        <v>3706319</v>
      </c>
    </row>
    <row r="85" spans="1:4" x14ac:dyDescent="0.25">
      <c r="A85" t="s">
        <v>110</v>
      </c>
      <c r="B85" t="s">
        <v>90</v>
      </c>
      <c r="C85" t="s">
        <v>95</v>
      </c>
      <c r="D85">
        <v>22153795.68</v>
      </c>
    </row>
    <row r="86" spans="1:4" x14ac:dyDescent="0.25">
      <c r="A86" t="s">
        <v>110</v>
      </c>
      <c r="B86" t="s">
        <v>90</v>
      </c>
      <c r="C86" t="s">
        <v>96</v>
      </c>
      <c r="D86">
        <v>2426943.79</v>
      </c>
    </row>
    <row r="87" spans="1:4" x14ac:dyDescent="0.25">
      <c r="A87" t="s">
        <v>111</v>
      </c>
      <c r="B87" t="s">
        <v>90</v>
      </c>
      <c r="C87" t="s">
        <v>98</v>
      </c>
      <c r="D87">
        <v>18338058.399999999</v>
      </c>
    </row>
    <row r="88" spans="1:4" x14ac:dyDescent="0.25">
      <c r="A88" t="s">
        <v>111</v>
      </c>
      <c r="B88" t="s">
        <v>90</v>
      </c>
      <c r="C88" t="s">
        <v>91</v>
      </c>
      <c r="D88">
        <v>19811291.25</v>
      </c>
    </row>
    <row r="89" spans="1:4" x14ac:dyDescent="0.25">
      <c r="A89" t="s">
        <v>111</v>
      </c>
      <c r="B89" t="s">
        <v>90</v>
      </c>
      <c r="C89" t="s">
        <v>93</v>
      </c>
      <c r="D89">
        <v>2618859.0299999998</v>
      </c>
    </row>
    <row r="90" spans="1:4" x14ac:dyDescent="0.25">
      <c r="A90" t="s">
        <v>111</v>
      </c>
      <c r="B90" t="s">
        <v>90</v>
      </c>
      <c r="C90" t="s">
        <v>94</v>
      </c>
      <c r="D90">
        <v>3875606.07</v>
      </c>
    </row>
    <row r="91" spans="1:4" x14ac:dyDescent="0.25">
      <c r="A91" t="s">
        <v>111</v>
      </c>
      <c r="B91" t="s">
        <v>90</v>
      </c>
      <c r="C91" t="s">
        <v>95</v>
      </c>
      <c r="D91">
        <v>9147417.4900000002</v>
      </c>
    </row>
    <row r="92" spans="1:4" x14ac:dyDescent="0.25">
      <c r="A92" t="s">
        <v>111</v>
      </c>
      <c r="B92" t="s">
        <v>90</v>
      </c>
      <c r="C92" t="s">
        <v>96</v>
      </c>
      <c r="D92">
        <v>3058121.92</v>
      </c>
    </row>
    <row r="93" spans="1:4" x14ac:dyDescent="0.25">
      <c r="A93" t="s">
        <v>112</v>
      </c>
      <c r="B93" t="s">
        <v>90</v>
      </c>
      <c r="C93" t="s">
        <v>98</v>
      </c>
      <c r="D93">
        <v>20186695.960000001</v>
      </c>
    </row>
    <row r="94" spans="1:4" x14ac:dyDescent="0.25">
      <c r="A94" t="s">
        <v>112</v>
      </c>
      <c r="B94" t="s">
        <v>90</v>
      </c>
      <c r="C94" t="s">
        <v>91</v>
      </c>
      <c r="D94">
        <v>18958609.920000002</v>
      </c>
    </row>
    <row r="95" spans="1:4" x14ac:dyDescent="0.25">
      <c r="A95" t="s">
        <v>112</v>
      </c>
      <c r="B95" t="s">
        <v>90</v>
      </c>
      <c r="C95" t="s">
        <v>93</v>
      </c>
      <c r="D95">
        <v>1493909.77</v>
      </c>
    </row>
    <row r="96" spans="1:4" x14ac:dyDescent="0.25">
      <c r="A96" t="s">
        <v>112</v>
      </c>
      <c r="B96" t="s">
        <v>90</v>
      </c>
      <c r="C96" t="s">
        <v>94</v>
      </c>
      <c r="D96">
        <v>2740749.29</v>
      </c>
    </row>
    <row r="97" spans="1:4" x14ac:dyDescent="0.25">
      <c r="A97" t="s">
        <v>112</v>
      </c>
      <c r="B97" t="s">
        <v>90</v>
      </c>
      <c r="C97" t="s">
        <v>95</v>
      </c>
      <c r="D97">
        <v>18038804.210000001</v>
      </c>
    </row>
    <row r="98" spans="1:4" x14ac:dyDescent="0.25">
      <c r="A98" t="s">
        <v>112</v>
      </c>
      <c r="B98" t="s">
        <v>90</v>
      </c>
      <c r="C98" t="s">
        <v>96</v>
      </c>
      <c r="D98">
        <v>2770972</v>
      </c>
    </row>
    <row r="99" spans="1:4" x14ac:dyDescent="0.25">
      <c r="A99" t="s">
        <v>113</v>
      </c>
      <c r="B99" t="s">
        <v>90</v>
      </c>
      <c r="C99" t="s">
        <v>98</v>
      </c>
      <c r="D99">
        <v>17208083.379999999</v>
      </c>
    </row>
    <row r="100" spans="1:4" x14ac:dyDescent="0.25">
      <c r="A100" t="s">
        <v>113</v>
      </c>
      <c r="B100" t="s">
        <v>90</v>
      </c>
      <c r="C100" t="s">
        <v>91</v>
      </c>
      <c r="D100">
        <v>20792286.489999998</v>
      </c>
    </row>
    <row r="101" spans="1:4" x14ac:dyDescent="0.25">
      <c r="A101" t="s">
        <v>113</v>
      </c>
      <c r="B101" t="s">
        <v>90</v>
      </c>
      <c r="C101" t="s">
        <v>93</v>
      </c>
      <c r="D101">
        <v>2582998.4</v>
      </c>
    </row>
    <row r="102" spans="1:4" x14ac:dyDescent="0.25">
      <c r="A102" t="s">
        <v>113</v>
      </c>
      <c r="B102" t="s">
        <v>90</v>
      </c>
      <c r="C102" t="s">
        <v>94</v>
      </c>
      <c r="D102">
        <v>4091489.98</v>
      </c>
    </row>
    <row r="103" spans="1:4" x14ac:dyDescent="0.25">
      <c r="A103" t="s">
        <v>113</v>
      </c>
      <c r="B103" t="s">
        <v>90</v>
      </c>
      <c r="C103" t="s">
        <v>95</v>
      </c>
      <c r="D103">
        <v>9595188.7599999998</v>
      </c>
    </row>
    <row r="104" spans="1:4" x14ac:dyDescent="0.25">
      <c r="A104" t="s">
        <v>113</v>
      </c>
      <c r="B104" t="s">
        <v>90</v>
      </c>
      <c r="C104" t="s">
        <v>96</v>
      </c>
      <c r="D104">
        <v>-1164889.45</v>
      </c>
    </row>
    <row r="105" spans="1:4" x14ac:dyDescent="0.25">
      <c r="A105" t="s">
        <v>114</v>
      </c>
      <c r="B105" t="s">
        <v>90</v>
      </c>
      <c r="C105" t="s">
        <v>98</v>
      </c>
      <c r="D105">
        <v>19235316.190000001</v>
      </c>
    </row>
    <row r="106" spans="1:4" x14ac:dyDescent="0.25">
      <c r="A106" t="s">
        <v>114</v>
      </c>
      <c r="B106" t="s">
        <v>90</v>
      </c>
      <c r="C106" t="s">
        <v>91</v>
      </c>
      <c r="D106">
        <v>27652891.77</v>
      </c>
    </row>
    <row r="107" spans="1:4" x14ac:dyDescent="0.25">
      <c r="A107" t="s">
        <v>114</v>
      </c>
      <c r="B107" t="s">
        <v>90</v>
      </c>
      <c r="C107" t="s">
        <v>93</v>
      </c>
      <c r="D107">
        <v>4571712.7</v>
      </c>
    </row>
    <row r="108" spans="1:4" x14ac:dyDescent="0.25">
      <c r="A108" t="s">
        <v>114</v>
      </c>
      <c r="B108" t="s">
        <v>90</v>
      </c>
      <c r="C108" t="s">
        <v>94</v>
      </c>
      <c r="D108">
        <v>3699284.69</v>
      </c>
    </row>
    <row r="109" spans="1:4" x14ac:dyDescent="0.25">
      <c r="A109" t="s">
        <v>114</v>
      </c>
      <c r="B109" t="s">
        <v>90</v>
      </c>
      <c r="C109" t="s">
        <v>95</v>
      </c>
      <c r="D109">
        <v>26018069.629999999</v>
      </c>
    </row>
    <row r="110" spans="1:4" x14ac:dyDescent="0.25">
      <c r="A110" t="s">
        <v>114</v>
      </c>
      <c r="B110" t="s">
        <v>90</v>
      </c>
      <c r="C110" t="s">
        <v>96</v>
      </c>
      <c r="D110">
        <v>2277498.62</v>
      </c>
    </row>
    <row r="111" spans="1:4" x14ac:dyDescent="0.25">
      <c r="A111" t="s">
        <v>115</v>
      </c>
      <c r="B111" t="s">
        <v>90</v>
      </c>
      <c r="C111" t="s">
        <v>98</v>
      </c>
      <c r="D111">
        <v>19039407.039999999</v>
      </c>
    </row>
    <row r="112" spans="1:4" x14ac:dyDescent="0.25">
      <c r="A112" t="s">
        <v>115</v>
      </c>
      <c r="B112" t="s">
        <v>90</v>
      </c>
      <c r="C112" t="s">
        <v>91</v>
      </c>
      <c r="D112">
        <v>22303868.43</v>
      </c>
    </row>
    <row r="113" spans="1:4" x14ac:dyDescent="0.25">
      <c r="A113" t="s">
        <v>115</v>
      </c>
      <c r="B113" t="s">
        <v>90</v>
      </c>
      <c r="C113" t="s">
        <v>93</v>
      </c>
      <c r="D113">
        <v>3199948.92</v>
      </c>
    </row>
    <row r="114" spans="1:4" x14ac:dyDescent="0.25">
      <c r="A114" t="s">
        <v>115</v>
      </c>
      <c r="B114" t="s">
        <v>90</v>
      </c>
      <c r="C114" t="s">
        <v>94</v>
      </c>
      <c r="D114">
        <v>3324151.76</v>
      </c>
    </row>
    <row r="115" spans="1:4" x14ac:dyDescent="0.25">
      <c r="A115" t="s">
        <v>115</v>
      </c>
      <c r="B115" t="s">
        <v>90</v>
      </c>
      <c r="C115" t="s">
        <v>95</v>
      </c>
      <c r="D115">
        <v>2131365.89</v>
      </c>
    </row>
    <row r="116" spans="1:4" x14ac:dyDescent="0.25">
      <c r="A116" t="s">
        <v>115</v>
      </c>
      <c r="B116" t="s">
        <v>90</v>
      </c>
      <c r="C116" t="s">
        <v>96</v>
      </c>
      <c r="D116">
        <v>3743552.41</v>
      </c>
    </row>
    <row r="117" spans="1:4" x14ac:dyDescent="0.25">
      <c r="A117" t="s">
        <v>116</v>
      </c>
      <c r="B117" t="s">
        <v>90</v>
      </c>
      <c r="C117" t="s">
        <v>98</v>
      </c>
      <c r="D117">
        <v>26809267.370000001</v>
      </c>
    </row>
    <row r="118" spans="1:4" x14ac:dyDescent="0.25">
      <c r="A118" t="s">
        <v>116</v>
      </c>
      <c r="B118" t="s">
        <v>90</v>
      </c>
      <c r="C118" t="s">
        <v>91</v>
      </c>
      <c r="D118">
        <v>23590475.350000001</v>
      </c>
    </row>
    <row r="119" spans="1:4" x14ac:dyDescent="0.25">
      <c r="A119" t="s">
        <v>116</v>
      </c>
      <c r="B119" t="s">
        <v>90</v>
      </c>
      <c r="C119" t="s">
        <v>93</v>
      </c>
      <c r="D119">
        <v>4865350.4800000004</v>
      </c>
    </row>
    <row r="120" spans="1:4" x14ac:dyDescent="0.25">
      <c r="A120" t="s">
        <v>116</v>
      </c>
      <c r="B120" t="s">
        <v>90</v>
      </c>
      <c r="C120" t="s">
        <v>94</v>
      </c>
      <c r="D120">
        <v>3326937.17</v>
      </c>
    </row>
    <row r="121" spans="1:4" x14ac:dyDescent="0.25">
      <c r="A121" t="s">
        <v>116</v>
      </c>
      <c r="B121" t="s">
        <v>90</v>
      </c>
      <c r="C121" t="s">
        <v>95</v>
      </c>
      <c r="D121">
        <v>14291583.18</v>
      </c>
    </row>
    <row r="122" spans="1:4" x14ac:dyDescent="0.25">
      <c r="A122" t="s">
        <v>116</v>
      </c>
      <c r="B122" t="s">
        <v>90</v>
      </c>
      <c r="C122" t="s">
        <v>96</v>
      </c>
      <c r="D122">
        <v>4282102.57</v>
      </c>
    </row>
    <row r="123" spans="1:4" x14ac:dyDescent="0.25">
      <c r="A123" t="s">
        <v>117</v>
      </c>
      <c r="B123" t="s">
        <v>90</v>
      </c>
      <c r="C123" t="s">
        <v>98</v>
      </c>
      <c r="D123">
        <v>18508183.539999999</v>
      </c>
    </row>
    <row r="124" spans="1:4" x14ac:dyDescent="0.25">
      <c r="A124" t="s">
        <v>117</v>
      </c>
      <c r="B124" t="s">
        <v>90</v>
      </c>
      <c r="C124" t="s">
        <v>91</v>
      </c>
      <c r="D124">
        <v>15931690.15</v>
      </c>
    </row>
    <row r="125" spans="1:4" x14ac:dyDescent="0.25">
      <c r="A125" t="s">
        <v>117</v>
      </c>
      <c r="B125" t="s">
        <v>90</v>
      </c>
      <c r="C125" t="s">
        <v>93</v>
      </c>
      <c r="D125">
        <v>4145278.09</v>
      </c>
    </row>
    <row r="126" spans="1:4" x14ac:dyDescent="0.25">
      <c r="A126" t="s">
        <v>117</v>
      </c>
      <c r="B126" t="s">
        <v>90</v>
      </c>
      <c r="C126" t="s">
        <v>94</v>
      </c>
      <c r="D126">
        <v>3470872.7</v>
      </c>
    </row>
    <row r="127" spans="1:4" x14ac:dyDescent="0.25">
      <c r="A127" t="s">
        <v>117</v>
      </c>
      <c r="B127" t="s">
        <v>90</v>
      </c>
      <c r="C127" t="s">
        <v>95</v>
      </c>
      <c r="D127">
        <v>39445182.729999997</v>
      </c>
    </row>
    <row r="128" spans="1:4" x14ac:dyDescent="0.25">
      <c r="A128" t="s">
        <v>117</v>
      </c>
      <c r="B128" t="s">
        <v>90</v>
      </c>
      <c r="C128" t="s">
        <v>96</v>
      </c>
      <c r="D128">
        <v>-1713185.34</v>
      </c>
    </row>
    <row r="129" spans="1:4" x14ac:dyDescent="0.25">
      <c r="A129" t="s">
        <v>118</v>
      </c>
      <c r="B129" t="s">
        <v>90</v>
      </c>
      <c r="C129" t="s">
        <v>98</v>
      </c>
      <c r="D129">
        <v>20903874.390000001</v>
      </c>
    </row>
    <row r="130" spans="1:4" x14ac:dyDescent="0.25">
      <c r="A130" t="s">
        <v>118</v>
      </c>
      <c r="B130" t="s">
        <v>90</v>
      </c>
      <c r="C130" t="s">
        <v>91</v>
      </c>
      <c r="D130">
        <v>19114631.629999999</v>
      </c>
    </row>
    <row r="131" spans="1:4" x14ac:dyDescent="0.25">
      <c r="A131" t="s">
        <v>118</v>
      </c>
      <c r="B131" t="s">
        <v>90</v>
      </c>
      <c r="C131" t="s">
        <v>93</v>
      </c>
      <c r="D131">
        <v>5272285.7300000004</v>
      </c>
    </row>
    <row r="132" spans="1:4" x14ac:dyDescent="0.25">
      <c r="A132" t="s">
        <v>118</v>
      </c>
      <c r="B132" t="s">
        <v>90</v>
      </c>
      <c r="C132" t="s">
        <v>94</v>
      </c>
      <c r="D132">
        <v>2795716.93</v>
      </c>
    </row>
    <row r="133" spans="1:4" x14ac:dyDescent="0.25">
      <c r="A133" t="s">
        <v>118</v>
      </c>
      <c r="B133" t="s">
        <v>90</v>
      </c>
      <c r="C133" t="s">
        <v>95</v>
      </c>
      <c r="D133">
        <v>5237246.5599999996</v>
      </c>
    </row>
    <row r="134" spans="1:4" x14ac:dyDescent="0.25">
      <c r="A134" t="s">
        <v>118</v>
      </c>
      <c r="B134" t="s">
        <v>90</v>
      </c>
      <c r="C134" t="s">
        <v>96</v>
      </c>
      <c r="D134">
        <v>6933178.1200000001</v>
      </c>
    </row>
    <row r="135" spans="1:4" x14ac:dyDescent="0.25">
      <c r="A135" t="s">
        <v>119</v>
      </c>
      <c r="B135" t="s">
        <v>90</v>
      </c>
      <c r="C135" t="s">
        <v>98</v>
      </c>
      <c r="D135">
        <v>19632643.899999999</v>
      </c>
    </row>
    <row r="136" spans="1:4" x14ac:dyDescent="0.25">
      <c r="A136" t="s">
        <v>119</v>
      </c>
      <c r="B136" t="s">
        <v>90</v>
      </c>
      <c r="C136" t="s">
        <v>91</v>
      </c>
      <c r="D136">
        <v>13671833.220000001</v>
      </c>
    </row>
    <row r="137" spans="1:4" x14ac:dyDescent="0.25">
      <c r="A137" t="s">
        <v>119</v>
      </c>
      <c r="B137" t="s">
        <v>90</v>
      </c>
      <c r="C137" t="s">
        <v>93</v>
      </c>
      <c r="D137">
        <v>11660071.77</v>
      </c>
    </row>
    <row r="138" spans="1:4" x14ac:dyDescent="0.25">
      <c r="A138" t="s">
        <v>119</v>
      </c>
      <c r="B138" t="s">
        <v>90</v>
      </c>
      <c r="C138" t="s">
        <v>94</v>
      </c>
      <c r="D138">
        <v>3601214.51</v>
      </c>
    </row>
    <row r="139" spans="1:4" x14ac:dyDescent="0.25">
      <c r="A139" t="s">
        <v>119</v>
      </c>
      <c r="B139" t="s">
        <v>90</v>
      </c>
      <c r="C139" t="s">
        <v>95</v>
      </c>
      <c r="D139">
        <v>11650485.619999999</v>
      </c>
    </row>
    <row r="140" spans="1:4" x14ac:dyDescent="0.25">
      <c r="A140" t="s">
        <v>119</v>
      </c>
      <c r="B140" t="s">
        <v>90</v>
      </c>
      <c r="C140" t="s">
        <v>96</v>
      </c>
      <c r="D140">
        <v>1060895.22</v>
      </c>
    </row>
    <row r="141" spans="1:4" x14ac:dyDescent="0.25">
      <c r="A141" t="s">
        <v>120</v>
      </c>
      <c r="B141" t="s">
        <v>90</v>
      </c>
      <c r="C141" t="s">
        <v>98</v>
      </c>
      <c r="D141">
        <v>20770066.68</v>
      </c>
    </row>
    <row r="142" spans="1:4" x14ac:dyDescent="0.25">
      <c r="A142" t="s">
        <v>120</v>
      </c>
      <c r="B142" t="s">
        <v>90</v>
      </c>
      <c r="C142" t="s">
        <v>91</v>
      </c>
      <c r="D142">
        <v>30469543.920000002</v>
      </c>
    </row>
    <row r="143" spans="1:4" x14ac:dyDescent="0.25">
      <c r="A143" t="s">
        <v>120</v>
      </c>
      <c r="B143" t="s">
        <v>90</v>
      </c>
      <c r="C143" t="s">
        <v>93</v>
      </c>
      <c r="D143">
        <v>8343642.8300000001</v>
      </c>
    </row>
    <row r="144" spans="1:4" x14ac:dyDescent="0.25">
      <c r="A144" t="s">
        <v>120</v>
      </c>
      <c r="B144" t="s">
        <v>90</v>
      </c>
      <c r="C144" t="s">
        <v>94</v>
      </c>
      <c r="D144">
        <v>4352054.16</v>
      </c>
    </row>
    <row r="145" spans="1:5" x14ac:dyDescent="0.25">
      <c r="A145" t="s">
        <v>120</v>
      </c>
      <c r="B145" t="s">
        <v>90</v>
      </c>
      <c r="C145" t="s">
        <v>95</v>
      </c>
      <c r="D145">
        <v>2087404.34</v>
      </c>
    </row>
    <row r="146" spans="1:5" x14ac:dyDescent="0.25">
      <c r="A146" t="s">
        <v>120</v>
      </c>
      <c r="B146" t="s">
        <v>90</v>
      </c>
      <c r="C146" t="s">
        <v>96</v>
      </c>
      <c r="D146">
        <v>31273106.289999999</v>
      </c>
    </row>
    <row r="147" spans="1:5" x14ac:dyDescent="0.25">
      <c r="A147" t="s">
        <v>121</v>
      </c>
      <c r="B147" t="s">
        <v>90</v>
      </c>
      <c r="C147" t="s">
        <v>98</v>
      </c>
      <c r="D147">
        <v>19029674.210000001</v>
      </c>
      <c r="E147">
        <v>21277967.280000001</v>
      </c>
    </row>
    <row r="148" spans="1:5" x14ac:dyDescent="0.25">
      <c r="A148" t="s">
        <v>121</v>
      </c>
      <c r="B148" t="s">
        <v>90</v>
      </c>
      <c r="C148" t="s">
        <v>91</v>
      </c>
      <c r="D148">
        <v>20907275.370000001</v>
      </c>
      <c r="E148">
        <v>23065367.620000001</v>
      </c>
    </row>
    <row r="149" spans="1:5" x14ac:dyDescent="0.25">
      <c r="A149" t="s">
        <v>121</v>
      </c>
      <c r="B149" t="s">
        <v>90</v>
      </c>
      <c r="C149" t="s">
        <v>93</v>
      </c>
      <c r="D149">
        <v>1003465.85</v>
      </c>
      <c r="E149">
        <v>2248453.41</v>
      </c>
    </row>
    <row r="150" spans="1:5" x14ac:dyDescent="0.25">
      <c r="A150" t="s">
        <v>121</v>
      </c>
      <c r="B150" t="s">
        <v>90</v>
      </c>
      <c r="C150" t="s">
        <v>94</v>
      </c>
      <c r="D150">
        <v>2237645.1</v>
      </c>
      <c r="E150">
        <v>4825993.82</v>
      </c>
    </row>
    <row r="151" spans="1:5" x14ac:dyDescent="0.25">
      <c r="A151" t="s">
        <v>121</v>
      </c>
      <c r="B151" t="s">
        <v>90</v>
      </c>
      <c r="C151" t="s">
        <v>95</v>
      </c>
      <c r="D151">
        <v>9390447.5399999991</v>
      </c>
      <c r="E151">
        <v>17449675.469999999</v>
      </c>
    </row>
    <row r="152" spans="1:5" x14ac:dyDescent="0.25">
      <c r="A152" t="s">
        <v>121</v>
      </c>
      <c r="B152" t="s">
        <v>90</v>
      </c>
      <c r="C152" t="s">
        <v>96</v>
      </c>
      <c r="D152">
        <v>3196936.22</v>
      </c>
      <c r="E152">
        <v>3641316.3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L150"/>
  <sheetViews>
    <sheetView workbookViewId="0">
      <pane ySplit="4" topLeftCell="A128" activePane="bottomLeft" state="frozen"/>
      <selection pane="bottomLeft" activeCell="P133" sqref="P133"/>
    </sheetView>
  </sheetViews>
  <sheetFormatPr defaultRowHeight="15" x14ac:dyDescent="0.25"/>
  <cols>
    <col min="1" max="1" width="12" customWidth="1"/>
    <col min="2" max="2" width="22" customWidth="1"/>
    <col min="3" max="11" width="14" customWidth="1"/>
    <col min="12" max="12" width="10.85546875" customWidth="1"/>
  </cols>
  <sheetData>
    <row r="1" spans="1:12" ht="27.95" customHeight="1" x14ac:dyDescent="0.25">
      <c r="A1" s="41" t="s">
        <v>122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2" ht="18" customHeight="1" x14ac:dyDescent="0.25">
      <c r="A2" s="39" t="s">
        <v>123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2" ht="36" customHeight="1" x14ac:dyDescent="0.25">
      <c r="A3" s="5" t="s">
        <v>63</v>
      </c>
      <c r="B3" s="5" t="s">
        <v>124</v>
      </c>
      <c r="C3" s="5" t="s">
        <v>65</v>
      </c>
      <c r="D3" s="5" t="s">
        <v>66</v>
      </c>
      <c r="E3" s="5" t="s">
        <v>67</v>
      </c>
      <c r="F3" s="5" t="s">
        <v>125</v>
      </c>
      <c r="G3" s="5" t="s">
        <v>126</v>
      </c>
      <c r="H3" s="5" t="s">
        <v>127</v>
      </c>
      <c r="I3" s="5" t="s">
        <v>128</v>
      </c>
      <c r="J3" s="5" t="s">
        <v>129</v>
      </c>
      <c r="K3" s="5" t="s">
        <v>130</v>
      </c>
      <c r="L3" s="5" t="s">
        <v>159</v>
      </c>
    </row>
    <row r="4" spans="1:12" ht="32.1" customHeight="1" x14ac:dyDescent="0.25">
      <c r="A4" s="4" t="s">
        <v>89</v>
      </c>
      <c r="B4" s="4" t="s">
        <v>131</v>
      </c>
      <c r="C4" s="4">
        <v>34801983.810000002</v>
      </c>
      <c r="D4" s="4"/>
      <c r="E4" s="4" t="s">
        <v>82</v>
      </c>
      <c r="F4" s="4">
        <v>101942</v>
      </c>
      <c r="G4" s="4"/>
      <c r="H4" s="4"/>
      <c r="I4" s="4"/>
      <c r="J4" s="4">
        <v>2.3561999999999999</v>
      </c>
      <c r="K4" s="4" t="s">
        <v>132</v>
      </c>
    </row>
    <row r="5" spans="1:12" x14ac:dyDescent="0.25">
      <c r="A5" t="s">
        <v>89</v>
      </c>
      <c r="B5" t="s">
        <v>133</v>
      </c>
      <c r="C5">
        <v>16105781.529999999</v>
      </c>
      <c r="J5">
        <v>0.8105</v>
      </c>
    </row>
    <row r="6" spans="1:12" x14ac:dyDescent="0.25">
      <c r="A6" t="s">
        <v>89</v>
      </c>
      <c r="B6" t="s">
        <v>134</v>
      </c>
      <c r="C6">
        <v>37137.089999999997</v>
      </c>
      <c r="F6">
        <v>105805</v>
      </c>
      <c r="J6">
        <v>0.63229999999999997</v>
      </c>
    </row>
    <row r="7" spans="1:12" x14ac:dyDescent="0.25">
      <c r="A7" t="s">
        <v>89</v>
      </c>
      <c r="B7" t="s">
        <v>135</v>
      </c>
    </row>
    <row r="8" spans="1:12" x14ac:dyDescent="0.25">
      <c r="A8" t="s">
        <v>89</v>
      </c>
      <c r="B8" t="s">
        <v>136</v>
      </c>
      <c r="C8">
        <v>1304842.5</v>
      </c>
    </row>
    <row r="9" spans="1:12" x14ac:dyDescent="0.25">
      <c r="A9" t="s">
        <v>97</v>
      </c>
      <c r="B9" t="s">
        <v>137</v>
      </c>
      <c r="C9">
        <v>29534240.190000001</v>
      </c>
      <c r="F9">
        <v>102669</v>
      </c>
      <c r="J9">
        <v>2.9653999999999998</v>
      </c>
    </row>
    <row r="10" spans="1:12" x14ac:dyDescent="0.25">
      <c r="A10" t="s">
        <v>97</v>
      </c>
      <c r="B10" t="s">
        <v>131</v>
      </c>
      <c r="C10">
        <v>41139973.899999999</v>
      </c>
      <c r="J10">
        <v>0.88970000000000005</v>
      </c>
    </row>
    <row r="11" spans="1:12" x14ac:dyDescent="0.25">
      <c r="A11" t="s">
        <v>97</v>
      </c>
      <c r="B11" t="s">
        <v>133</v>
      </c>
      <c r="C11">
        <v>16662846.300000001</v>
      </c>
      <c r="F11">
        <v>104686</v>
      </c>
      <c r="J11">
        <v>0.8377</v>
      </c>
    </row>
    <row r="12" spans="1:12" x14ac:dyDescent="0.25">
      <c r="A12" t="s">
        <v>97</v>
      </c>
      <c r="B12" t="s">
        <v>134</v>
      </c>
      <c r="C12">
        <v>41681.129999999997</v>
      </c>
    </row>
    <row r="13" spans="1:12" x14ac:dyDescent="0.25">
      <c r="A13" t="s">
        <v>97</v>
      </c>
      <c r="B13" t="s">
        <v>135</v>
      </c>
    </row>
    <row r="14" spans="1:12" x14ac:dyDescent="0.25">
      <c r="A14" t="s">
        <v>97</v>
      </c>
      <c r="B14" t="s">
        <v>136</v>
      </c>
      <c r="C14">
        <v>-2316940.58</v>
      </c>
    </row>
    <row r="15" spans="1:12" x14ac:dyDescent="0.25">
      <c r="A15" t="s">
        <v>99</v>
      </c>
      <c r="B15" t="s">
        <v>137</v>
      </c>
      <c r="C15">
        <v>29636594.48</v>
      </c>
      <c r="F15">
        <v>102880</v>
      </c>
      <c r="J15">
        <v>3.1606000000000001</v>
      </c>
    </row>
    <row r="16" spans="1:12" x14ac:dyDescent="0.25">
      <c r="A16" t="s">
        <v>99</v>
      </c>
      <c r="B16" t="s">
        <v>131</v>
      </c>
      <c r="C16">
        <v>33710304.149999999</v>
      </c>
      <c r="J16">
        <v>0.84219999999999995</v>
      </c>
    </row>
    <row r="17" spans="1:10" x14ac:dyDescent="0.25">
      <c r="A17" t="s">
        <v>99</v>
      </c>
      <c r="B17" t="s">
        <v>133</v>
      </c>
      <c r="C17">
        <v>16442488.27</v>
      </c>
      <c r="F17">
        <v>104356</v>
      </c>
      <c r="J17">
        <v>0.33729999999999999</v>
      </c>
    </row>
    <row r="18" spans="1:10" x14ac:dyDescent="0.25">
      <c r="A18" t="s">
        <v>99</v>
      </c>
      <c r="B18" t="s">
        <v>134</v>
      </c>
      <c r="C18">
        <v>40799.68</v>
      </c>
    </row>
    <row r="19" spans="1:10" x14ac:dyDescent="0.25">
      <c r="A19" t="s">
        <v>99</v>
      </c>
      <c r="B19" t="s">
        <v>135</v>
      </c>
    </row>
    <row r="20" spans="1:10" x14ac:dyDescent="0.25">
      <c r="A20" t="s">
        <v>99</v>
      </c>
      <c r="B20" t="s">
        <v>136</v>
      </c>
      <c r="C20">
        <v>-1308121.53</v>
      </c>
    </row>
    <row r="21" spans="1:10" x14ac:dyDescent="0.25">
      <c r="A21" t="s">
        <v>100</v>
      </c>
      <c r="B21" t="s">
        <v>137</v>
      </c>
      <c r="C21">
        <v>29816727.75</v>
      </c>
      <c r="F21">
        <v>103115</v>
      </c>
      <c r="J21">
        <v>3.4272999999999998</v>
      </c>
    </row>
    <row r="22" spans="1:10" x14ac:dyDescent="0.25">
      <c r="A22" t="s">
        <v>100</v>
      </c>
      <c r="B22" t="s">
        <v>131</v>
      </c>
      <c r="C22">
        <v>34925348.82</v>
      </c>
      <c r="J22">
        <v>1.0153000000000001</v>
      </c>
    </row>
    <row r="23" spans="1:10" x14ac:dyDescent="0.25">
      <c r="A23" t="s">
        <v>100</v>
      </c>
      <c r="B23" t="s">
        <v>133</v>
      </c>
      <c r="C23">
        <v>16695656.9</v>
      </c>
      <c r="F23">
        <v>105356</v>
      </c>
      <c r="J23">
        <v>0.39300000000000002</v>
      </c>
    </row>
    <row r="24" spans="1:10" x14ac:dyDescent="0.25">
      <c r="A24" t="s">
        <v>100</v>
      </c>
      <c r="B24" t="s">
        <v>134</v>
      </c>
      <c r="C24">
        <v>41567.49</v>
      </c>
    </row>
    <row r="25" spans="1:10" x14ac:dyDescent="0.25">
      <c r="A25" t="s">
        <v>100</v>
      </c>
      <c r="B25" t="s">
        <v>135</v>
      </c>
    </row>
    <row r="26" spans="1:10" x14ac:dyDescent="0.25">
      <c r="A26" t="s">
        <v>100</v>
      </c>
      <c r="B26" t="s">
        <v>136</v>
      </c>
      <c r="C26">
        <v>-1159750.92</v>
      </c>
    </row>
    <row r="27" spans="1:10" x14ac:dyDescent="0.25">
      <c r="A27" t="s">
        <v>101</v>
      </c>
      <c r="B27" t="s">
        <v>137</v>
      </c>
      <c r="C27">
        <v>30524353.16</v>
      </c>
      <c r="F27">
        <v>103955</v>
      </c>
      <c r="J27">
        <v>3.2042000000000002</v>
      </c>
    </row>
    <row r="28" spans="1:10" x14ac:dyDescent="0.25">
      <c r="A28" t="s">
        <v>101</v>
      </c>
      <c r="B28" t="s">
        <v>131</v>
      </c>
      <c r="C28">
        <v>36127873.539999999</v>
      </c>
      <c r="J28">
        <v>0.89729999999999999</v>
      </c>
    </row>
    <row r="29" spans="1:10" x14ac:dyDescent="0.25">
      <c r="A29" t="s">
        <v>101</v>
      </c>
      <c r="B29" t="s">
        <v>133</v>
      </c>
      <c r="C29">
        <v>16181166.42</v>
      </c>
      <c r="F29">
        <v>103684</v>
      </c>
      <c r="J29">
        <v>0.47160000000000002</v>
      </c>
    </row>
    <row r="30" spans="1:10" x14ac:dyDescent="0.25">
      <c r="A30" t="s">
        <v>101</v>
      </c>
      <c r="B30" t="s">
        <v>134</v>
      </c>
      <c r="C30">
        <v>39810.93</v>
      </c>
    </row>
    <row r="31" spans="1:10" x14ac:dyDescent="0.25">
      <c r="A31" t="s">
        <v>101</v>
      </c>
      <c r="B31" t="s">
        <v>135</v>
      </c>
    </row>
    <row r="32" spans="1:10" x14ac:dyDescent="0.25">
      <c r="A32" t="s">
        <v>101</v>
      </c>
      <c r="B32" t="s">
        <v>136</v>
      </c>
      <c r="C32">
        <v>-1303749.8600000001</v>
      </c>
    </row>
    <row r="33" spans="1:10" x14ac:dyDescent="0.25">
      <c r="A33" t="s">
        <v>102</v>
      </c>
      <c r="B33" t="s">
        <v>137</v>
      </c>
      <c r="C33">
        <v>30374908.210000001</v>
      </c>
      <c r="F33">
        <v>103919</v>
      </c>
      <c r="J33">
        <v>3.3494999999999999</v>
      </c>
    </row>
    <row r="34" spans="1:10" x14ac:dyDescent="0.25">
      <c r="A34" t="s">
        <v>102</v>
      </c>
      <c r="B34" t="s">
        <v>131</v>
      </c>
      <c r="C34">
        <v>36914204.659999996</v>
      </c>
      <c r="J34">
        <v>0.7419</v>
      </c>
    </row>
    <row r="35" spans="1:10" x14ac:dyDescent="0.25">
      <c r="A35" t="s">
        <v>102</v>
      </c>
      <c r="B35" t="s">
        <v>133</v>
      </c>
      <c r="C35">
        <v>16768269.779999999</v>
      </c>
      <c r="F35">
        <v>104649</v>
      </c>
      <c r="J35">
        <v>0.3574</v>
      </c>
    </row>
    <row r="36" spans="1:10" x14ac:dyDescent="0.25">
      <c r="A36" t="s">
        <v>102</v>
      </c>
      <c r="B36" t="s">
        <v>134</v>
      </c>
      <c r="C36">
        <v>39509.51</v>
      </c>
    </row>
    <row r="37" spans="1:10" x14ac:dyDescent="0.25">
      <c r="A37" t="s">
        <v>102</v>
      </c>
      <c r="B37" t="s">
        <v>135</v>
      </c>
    </row>
    <row r="38" spans="1:10" x14ac:dyDescent="0.25">
      <c r="A38" t="s">
        <v>102</v>
      </c>
      <c r="B38" t="s">
        <v>136</v>
      </c>
      <c r="C38">
        <v>-520647.21</v>
      </c>
    </row>
    <row r="39" spans="1:10" x14ac:dyDescent="0.25">
      <c r="A39" t="s">
        <v>103</v>
      </c>
      <c r="B39" t="s">
        <v>137</v>
      </c>
      <c r="C39">
        <v>29698555.600000001</v>
      </c>
      <c r="F39">
        <v>104206</v>
      </c>
      <c r="J39">
        <v>3.0947</v>
      </c>
    </row>
    <row r="40" spans="1:10" x14ac:dyDescent="0.25">
      <c r="A40" t="s">
        <v>103</v>
      </c>
      <c r="B40" t="s">
        <v>131</v>
      </c>
      <c r="C40">
        <v>33583935.759999998</v>
      </c>
      <c r="J40">
        <v>0.90739999999999998</v>
      </c>
    </row>
    <row r="41" spans="1:10" x14ac:dyDescent="0.25">
      <c r="A41" t="s">
        <v>103</v>
      </c>
      <c r="B41" t="s">
        <v>133</v>
      </c>
      <c r="C41">
        <v>16370976.52</v>
      </c>
      <c r="F41">
        <v>104779</v>
      </c>
      <c r="J41">
        <v>0.2157</v>
      </c>
    </row>
    <row r="42" spans="1:10" x14ac:dyDescent="0.25">
      <c r="A42" t="s">
        <v>103</v>
      </c>
      <c r="B42" t="s">
        <v>134</v>
      </c>
      <c r="C42">
        <v>37576.79</v>
      </c>
    </row>
    <row r="43" spans="1:10" x14ac:dyDescent="0.25">
      <c r="A43" t="s">
        <v>103</v>
      </c>
      <c r="B43" t="s">
        <v>135</v>
      </c>
    </row>
    <row r="44" spans="1:10" x14ac:dyDescent="0.25">
      <c r="A44" t="s">
        <v>103</v>
      </c>
      <c r="B44" t="s">
        <v>136</v>
      </c>
      <c r="C44">
        <v>-1417426.48</v>
      </c>
    </row>
    <row r="45" spans="1:10" x14ac:dyDescent="0.25">
      <c r="A45" t="s">
        <v>104</v>
      </c>
      <c r="B45" t="s">
        <v>137</v>
      </c>
      <c r="C45">
        <v>30396410.370000001</v>
      </c>
      <c r="F45">
        <v>105007</v>
      </c>
      <c r="J45">
        <v>2.8281000000000001</v>
      </c>
    </row>
    <row r="46" spans="1:10" x14ac:dyDescent="0.25">
      <c r="A46" t="s">
        <v>104</v>
      </c>
      <c r="B46" t="s">
        <v>131</v>
      </c>
      <c r="C46">
        <v>34059951.280000001</v>
      </c>
      <c r="J46">
        <v>0.83940000000000003</v>
      </c>
    </row>
    <row r="47" spans="1:10" x14ac:dyDescent="0.25">
      <c r="A47" t="s">
        <v>104</v>
      </c>
      <c r="B47" t="s">
        <v>133</v>
      </c>
      <c r="C47">
        <v>16637689.460000001</v>
      </c>
      <c r="F47">
        <v>104605</v>
      </c>
      <c r="J47">
        <v>0.1769</v>
      </c>
    </row>
    <row r="48" spans="1:10" x14ac:dyDescent="0.25">
      <c r="A48" t="s">
        <v>104</v>
      </c>
      <c r="B48" t="s">
        <v>134</v>
      </c>
      <c r="C48">
        <v>36425.919999999998</v>
      </c>
    </row>
    <row r="49" spans="1:10" x14ac:dyDescent="0.25">
      <c r="A49" t="s">
        <v>104</v>
      </c>
      <c r="B49" t="s">
        <v>135</v>
      </c>
    </row>
    <row r="50" spans="1:10" x14ac:dyDescent="0.25">
      <c r="A50" t="s">
        <v>104</v>
      </c>
      <c r="B50" t="s">
        <v>136</v>
      </c>
      <c r="C50">
        <v>-607446.81000000006</v>
      </c>
    </row>
    <row r="51" spans="1:10" x14ac:dyDescent="0.25">
      <c r="A51" t="s">
        <v>105</v>
      </c>
      <c r="B51" t="s">
        <v>137</v>
      </c>
      <c r="C51">
        <v>30739595.420000002</v>
      </c>
      <c r="F51">
        <v>107017</v>
      </c>
      <c r="J51">
        <v>2.9883999999999999</v>
      </c>
    </row>
    <row r="52" spans="1:10" x14ac:dyDescent="0.25">
      <c r="A52" t="s">
        <v>105</v>
      </c>
      <c r="B52" t="s">
        <v>131</v>
      </c>
      <c r="C52">
        <v>33035387.57</v>
      </c>
      <c r="F52">
        <v>409130</v>
      </c>
      <c r="J52">
        <v>1.8695999999999999</v>
      </c>
    </row>
    <row r="53" spans="1:10" x14ac:dyDescent="0.25">
      <c r="A53" t="s">
        <v>105</v>
      </c>
      <c r="B53" t="s">
        <v>133</v>
      </c>
      <c r="C53">
        <v>16702375.390000001</v>
      </c>
      <c r="F53">
        <v>105888</v>
      </c>
      <c r="J53">
        <v>0.35599999999999998</v>
      </c>
    </row>
    <row r="54" spans="1:10" x14ac:dyDescent="0.25">
      <c r="A54" t="s">
        <v>105</v>
      </c>
      <c r="B54" t="s">
        <v>134</v>
      </c>
      <c r="C54">
        <v>28869.72</v>
      </c>
    </row>
    <row r="55" spans="1:10" x14ac:dyDescent="0.25">
      <c r="A55" t="s">
        <v>105</v>
      </c>
      <c r="B55" t="s">
        <v>135</v>
      </c>
    </row>
    <row r="56" spans="1:10" x14ac:dyDescent="0.25">
      <c r="A56" t="s">
        <v>105</v>
      </c>
      <c r="B56" t="s">
        <v>136</v>
      </c>
      <c r="C56">
        <v>-1231939.1599999999</v>
      </c>
    </row>
    <row r="57" spans="1:10" x14ac:dyDescent="0.25">
      <c r="A57" t="s">
        <v>106</v>
      </c>
      <c r="B57" t="s">
        <v>137</v>
      </c>
      <c r="C57">
        <v>31366060.210000001</v>
      </c>
      <c r="F57">
        <v>106672</v>
      </c>
      <c r="J57">
        <v>3.5097</v>
      </c>
    </row>
    <row r="58" spans="1:10" x14ac:dyDescent="0.25">
      <c r="A58" t="s">
        <v>106</v>
      </c>
      <c r="B58" t="s">
        <v>131</v>
      </c>
      <c r="C58">
        <v>33004358.77</v>
      </c>
      <c r="F58">
        <v>410376</v>
      </c>
      <c r="J58">
        <v>0.8921</v>
      </c>
    </row>
    <row r="59" spans="1:10" x14ac:dyDescent="0.25">
      <c r="A59" t="s">
        <v>106</v>
      </c>
      <c r="B59" t="s">
        <v>133</v>
      </c>
      <c r="C59">
        <v>16462146.130000001</v>
      </c>
      <c r="F59">
        <v>106374</v>
      </c>
      <c r="J59">
        <v>0.2172</v>
      </c>
    </row>
    <row r="60" spans="1:10" x14ac:dyDescent="0.25">
      <c r="A60" t="s">
        <v>106</v>
      </c>
      <c r="B60" t="s">
        <v>134</v>
      </c>
      <c r="C60">
        <v>25752.82</v>
      </c>
    </row>
    <row r="61" spans="1:10" x14ac:dyDescent="0.25">
      <c r="A61" t="s">
        <v>106</v>
      </c>
      <c r="B61" t="s">
        <v>135</v>
      </c>
    </row>
    <row r="62" spans="1:10" x14ac:dyDescent="0.25">
      <c r="A62" t="s">
        <v>106</v>
      </c>
      <c r="B62" t="s">
        <v>136</v>
      </c>
      <c r="C62">
        <v>-1614215.68</v>
      </c>
    </row>
    <row r="63" spans="1:10" x14ac:dyDescent="0.25">
      <c r="A63" t="s">
        <v>107</v>
      </c>
      <c r="B63" t="s">
        <v>137</v>
      </c>
      <c r="C63">
        <v>32172008.050000001</v>
      </c>
      <c r="J63">
        <v>3.8445</v>
      </c>
    </row>
    <row r="64" spans="1:10" x14ac:dyDescent="0.25">
      <c r="A64" t="s">
        <v>107</v>
      </c>
      <c r="B64" t="s">
        <v>131</v>
      </c>
      <c r="C64">
        <v>29660247.789999999</v>
      </c>
      <c r="F64">
        <v>398306</v>
      </c>
      <c r="J64">
        <v>0.85870000000000002</v>
      </c>
    </row>
    <row r="65" spans="1:10" x14ac:dyDescent="0.25">
      <c r="A65" t="s">
        <v>107</v>
      </c>
      <c r="B65" t="s">
        <v>133</v>
      </c>
      <c r="C65">
        <v>16132629.25</v>
      </c>
      <c r="F65">
        <v>103259</v>
      </c>
      <c r="J65">
        <v>0.23630000000000001</v>
      </c>
    </row>
    <row r="66" spans="1:10" x14ac:dyDescent="0.25">
      <c r="A66" t="s">
        <v>107</v>
      </c>
      <c r="B66" t="s">
        <v>134</v>
      </c>
      <c r="C66">
        <v>20202.650000000001</v>
      </c>
    </row>
    <row r="67" spans="1:10" x14ac:dyDescent="0.25">
      <c r="A67" t="s">
        <v>107</v>
      </c>
      <c r="B67" t="s">
        <v>135</v>
      </c>
    </row>
    <row r="68" spans="1:10" x14ac:dyDescent="0.25">
      <c r="A68" t="s">
        <v>107</v>
      </c>
      <c r="B68" t="s">
        <v>136</v>
      </c>
      <c r="C68">
        <v>-1842461.71</v>
      </c>
    </row>
    <row r="69" spans="1:10" x14ac:dyDescent="0.25">
      <c r="A69" t="s">
        <v>108</v>
      </c>
      <c r="B69" t="s">
        <v>137</v>
      </c>
      <c r="C69">
        <v>0</v>
      </c>
      <c r="F69">
        <v>105124</v>
      </c>
      <c r="J69">
        <v>3.7782</v>
      </c>
    </row>
    <row r="70" spans="1:10" x14ac:dyDescent="0.25">
      <c r="A70" t="s">
        <v>108</v>
      </c>
      <c r="B70" t="s">
        <v>131</v>
      </c>
      <c r="C70">
        <v>0</v>
      </c>
      <c r="F70">
        <v>406697</v>
      </c>
      <c r="J70">
        <v>0.68259999999999998</v>
      </c>
    </row>
    <row r="71" spans="1:10" x14ac:dyDescent="0.25">
      <c r="A71" t="s">
        <v>108</v>
      </c>
      <c r="B71" t="s">
        <v>133</v>
      </c>
      <c r="C71">
        <v>0</v>
      </c>
      <c r="F71">
        <v>104357</v>
      </c>
      <c r="J71">
        <v>0.3881</v>
      </c>
    </row>
    <row r="72" spans="1:10" x14ac:dyDescent="0.25">
      <c r="A72" t="s">
        <v>108</v>
      </c>
      <c r="B72" t="s">
        <v>134</v>
      </c>
      <c r="C72">
        <v>0</v>
      </c>
    </row>
    <row r="73" spans="1:10" x14ac:dyDescent="0.25">
      <c r="A73" t="s">
        <v>108</v>
      </c>
      <c r="B73" t="s">
        <v>135</v>
      </c>
    </row>
    <row r="74" spans="1:10" x14ac:dyDescent="0.25">
      <c r="A74" t="s">
        <v>108</v>
      </c>
      <c r="B74" t="s">
        <v>136</v>
      </c>
      <c r="C74">
        <v>0</v>
      </c>
    </row>
    <row r="75" spans="1:10" x14ac:dyDescent="0.25">
      <c r="A75" t="s">
        <v>109</v>
      </c>
      <c r="B75" t="s">
        <v>137</v>
      </c>
      <c r="C75">
        <v>31193266.66</v>
      </c>
      <c r="F75">
        <v>104426</v>
      </c>
      <c r="J75">
        <v>3.2456999999999998</v>
      </c>
    </row>
    <row r="76" spans="1:10" x14ac:dyDescent="0.25">
      <c r="A76" t="s">
        <v>109</v>
      </c>
      <c r="B76" t="s">
        <v>131</v>
      </c>
      <c r="C76">
        <v>34532303.340000004</v>
      </c>
      <c r="F76">
        <v>375309</v>
      </c>
      <c r="J76">
        <v>0.96040000000000003</v>
      </c>
    </row>
    <row r="77" spans="1:10" x14ac:dyDescent="0.25">
      <c r="A77" t="s">
        <v>109</v>
      </c>
      <c r="B77" t="s">
        <v>133</v>
      </c>
      <c r="C77">
        <v>16493687.289999999</v>
      </c>
      <c r="F77">
        <v>103490</v>
      </c>
      <c r="J77">
        <v>0.18840000000000001</v>
      </c>
    </row>
    <row r="78" spans="1:10" x14ac:dyDescent="0.25">
      <c r="A78" t="s">
        <v>109</v>
      </c>
      <c r="B78" t="s">
        <v>134</v>
      </c>
      <c r="C78">
        <v>26043.49</v>
      </c>
    </row>
    <row r="79" spans="1:10" x14ac:dyDescent="0.25">
      <c r="A79" t="s">
        <v>109</v>
      </c>
      <c r="B79" t="s">
        <v>135</v>
      </c>
    </row>
    <row r="80" spans="1:10" x14ac:dyDescent="0.25">
      <c r="A80" t="s">
        <v>109</v>
      </c>
      <c r="B80" t="s">
        <v>136</v>
      </c>
      <c r="C80">
        <v>-1913572.91</v>
      </c>
    </row>
    <row r="81" spans="1:10" x14ac:dyDescent="0.25">
      <c r="A81" t="s">
        <v>110</v>
      </c>
      <c r="B81" t="s">
        <v>137</v>
      </c>
      <c r="C81">
        <v>32261590.82</v>
      </c>
      <c r="F81">
        <v>105314</v>
      </c>
      <c r="J81">
        <v>2.8517999999999999</v>
      </c>
    </row>
    <row r="82" spans="1:10" x14ac:dyDescent="0.25">
      <c r="A82" t="s">
        <v>110</v>
      </c>
      <c r="B82" t="s">
        <v>131</v>
      </c>
      <c r="C82">
        <v>31947105.5</v>
      </c>
      <c r="F82">
        <v>380913</v>
      </c>
      <c r="J82">
        <v>0.91339999999999999</v>
      </c>
    </row>
    <row r="83" spans="1:10" x14ac:dyDescent="0.25">
      <c r="A83" t="s">
        <v>110</v>
      </c>
      <c r="B83" t="s">
        <v>133</v>
      </c>
      <c r="C83">
        <v>16471191.17</v>
      </c>
      <c r="F83">
        <v>104166</v>
      </c>
      <c r="J83">
        <v>0.20830000000000001</v>
      </c>
    </row>
    <row r="84" spans="1:10" x14ac:dyDescent="0.25">
      <c r="A84" t="s">
        <v>110</v>
      </c>
      <c r="B84" t="s">
        <v>134</v>
      </c>
      <c r="C84">
        <v>27060.6</v>
      </c>
    </row>
    <row r="85" spans="1:10" x14ac:dyDescent="0.25">
      <c r="A85" t="s">
        <v>110</v>
      </c>
      <c r="B85" t="s">
        <v>135</v>
      </c>
    </row>
    <row r="86" spans="1:10" x14ac:dyDescent="0.25">
      <c r="A86" t="s">
        <v>110</v>
      </c>
      <c r="B86" t="s">
        <v>136</v>
      </c>
      <c r="C86">
        <v>-897893.59</v>
      </c>
    </row>
    <row r="87" spans="1:10" x14ac:dyDescent="0.25">
      <c r="A87" t="s">
        <v>111</v>
      </c>
      <c r="B87" t="s">
        <v>137</v>
      </c>
      <c r="C87">
        <v>32811735.27</v>
      </c>
      <c r="F87">
        <v>105051</v>
      </c>
      <c r="J87">
        <v>2.9939</v>
      </c>
    </row>
    <row r="88" spans="1:10" x14ac:dyDescent="0.25">
      <c r="A88" t="s">
        <v>111</v>
      </c>
      <c r="B88" t="s">
        <v>131</v>
      </c>
      <c r="C88">
        <v>32554696.850000001</v>
      </c>
      <c r="F88">
        <v>371873</v>
      </c>
      <c r="J88">
        <v>1.0178</v>
      </c>
    </row>
    <row r="89" spans="1:10" x14ac:dyDescent="0.25">
      <c r="A89" t="s">
        <v>111</v>
      </c>
      <c r="B89" t="s">
        <v>133</v>
      </c>
      <c r="C89">
        <v>16433170.41</v>
      </c>
      <c r="F89">
        <v>103778</v>
      </c>
      <c r="J89">
        <v>0.21579999999999999</v>
      </c>
    </row>
    <row r="90" spans="1:10" x14ac:dyDescent="0.25">
      <c r="A90" t="s">
        <v>111</v>
      </c>
      <c r="B90" t="s">
        <v>134</v>
      </c>
      <c r="C90">
        <v>23634.74</v>
      </c>
    </row>
    <row r="91" spans="1:10" x14ac:dyDescent="0.25">
      <c r="A91" t="s">
        <v>111</v>
      </c>
      <c r="B91" t="s">
        <v>135</v>
      </c>
    </row>
    <row r="92" spans="1:10" x14ac:dyDescent="0.25">
      <c r="A92" t="s">
        <v>111</v>
      </c>
      <c r="B92" t="s">
        <v>136</v>
      </c>
      <c r="C92">
        <v>-1223845.8700000001</v>
      </c>
    </row>
    <row r="93" spans="1:10" x14ac:dyDescent="0.25">
      <c r="A93" t="s">
        <v>112</v>
      </c>
      <c r="B93" t="s">
        <v>137</v>
      </c>
      <c r="C93">
        <v>31785726.140000001</v>
      </c>
      <c r="F93">
        <v>104606</v>
      </c>
      <c r="J93">
        <v>3.2650999999999999</v>
      </c>
    </row>
    <row r="94" spans="1:10" x14ac:dyDescent="0.25">
      <c r="A94" t="s">
        <v>112</v>
      </c>
      <c r="B94" t="s">
        <v>131</v>
      </c>
      <c r="C94">
        <v>32494177.390000001</v>
      </c>
      <c r="F94">
        <v>386274</v>
      </c>
      <c r="J94">
        <v>1.1311</v>
      </c>
    </row>
    <row r="95" spans="1:10" x14ac:dyDescent="0.25">
      <c r="A95" t="s">
        <v>112</v>
      </c>
      <c r="B95" t="s">
        <v>133</v>
      </c>
      <c r="C95">
        <v>16534371.15</v>
      </c>
      <c r="F95">
        <v>104939</v>
      </c>
      <c r="J95">
        <v>0.44879999999999998</v>
      </c>
    </row>
    <row r="96" spans="1:10" x14ac:dyDescent="0.25">
      <c r="A96" t="s">
        <v>112</v>
      </c>
      <c r="B96" t="s">
        <v>134</v>
      </c>
      <c r="C96">
        <v>25383.73</v>
      </c>
    </row>
    <row r="97" spans="1:10" x14ac:dyDescent="0.25">
      <c r="A97" t="s">
        <v>112</v>
      </c>
      <c r="B97" t="s">
        <v>135</v>
      </c>
    </row>
    <row r="98" spans="1:10" x14ac:dyDescent="0.25">
      <c r="A98" t="s">
        <v>112</v>
      </c>
      <c r="B98" t="s">
        <v>136</v>
      </c>
      <c r="C98">
        <v>521984.85</v>
      </c>
    </row>
    <row r="99" spans="1:10" x14ac:dyDescent="0.25">
      <c r="A99" t="s">
        <v>113</v>
      </c>
      <c r="B99" t="s">
        <v>137</v>
      </c>
      <c r="C99">
        <v>31585702.670000002</v>
      </c>
      <c r="F99">
        <v>104695</v>
      </c>
      <c r="J99">
        <v>2.8917999999999999</v>
      </c>
    </row>
    <row r="100" spans="1:10" x14ac:dyDescent="0.25">
      <c r="A100" t="s">
        <v>113</v>
      </c>
      <c r="B100" t="s">
        <v>131</v>
      </c>
      <c r="C100">
        <v>32978250.010000002</v>
      </c>
      <c r="F100">
        <v>378849</v>
      </c>
      <c r="J100">
        <v>1.1528</v>
      </c>
    </row>
    <row r="101" spans="1:10" x14ac:dyDescent="0.25">
      <c r="A101" t="s">
        <v>113</v>
      </c>
      <c r="B101" t="s">
        <v>133</v>
      </c>
      <c r="C101">
        <v>16542746.73</v>
      </c>
      <c r="F101">
        <v>105189</v>
      </c>
      <c r="J101">
        <v>0.44490000000000002</v>
      </c>
    </row>
    <row r="102" spans="1:10" x14ac:dyDescent="0.25">
      <c r="A102" t="s">
        <v>113</v>
      </c>
      <c r="B102" t="s">
        <v>134</v>
      </c>
      <c r="C102">
        <v>25055.54</v>
      </c>
    </row>
    <row r="103" spans="1:10" x14ac:dyDescent="0.25">
      <c r="A103" t="s">
        <v>113</v>
      </c>
      <c r="B103" t="s">
        <v>135</v>
      </c>
    </row>
    <row r="104" spans="1:10" x14ac:dyDescent="0.25">
      <c r="A104" t="s">
        <v>113</v>
      </c>
      <c r="B104" t="s">
        <v>136</v>
      </c>
      <c r="C104">
        <v>-530429.48</v>
      </c>
    </row>
    <row r="105" spans="1:10" x14ac:dyDescent="0.25">
      <c r="A105" t="s">
        <v>114</v>
      </c>
      <c r="B105" t="s">
        <v>137</v>
      </c>
      <c r="C105">
        <v>31706829.32</v>
      </c>
      <c r="F105">
        <v>104853</v>
      </c>
      <c r="J105">
        <v>2.9276</v>
      </c>
    </row>
    <row r="106" spans="1:10" x14ac:dyDescent="0.25">
      <c r="A106" t="s">
        <v>114</v>
      </c>
      <c r="B106" t="s">
        <v>131</v>
      </c>
      <c r="C106">
        <v>31780975.359999999</v>
      </c>
      <c r="F106">
        <v>378041</v>
      </c>
      <c r="J106">
        <v>1.0632999999999999</v>
      </c>
    </row>
    <row r="107" spans="1:10" x14ac:dyDescent="0.25">
      <c r="A107" t="s">
        <v>114</v>
      </c>
      <c r="B107" t="s">
        <v>133</v>
      </c>
      <c r="C107">
        <v>16380367.26</v>
      </c>
      <c r="F107">
        <v>104516</v>
      </c>
      <c r="J107">
        <v>0.27839999999999998</v>
      </c>
    </row>
    <row r="108" spans="1:10" x14ac:dyDescent="0.25">
      <c r="A108" t="s">
        <v>114</v>
      </c>
      <c r="B108" t="s">
        <v>134</v>
      </c>
      <c r="C108">
        <v>22484.17</v>
      </c>
    </row>
    <row r="109" spans="1:10" x14ac:dyDescent="0.25">
      <c r="A109" t="s">
        <v>114</v>
      </c>
      <c r="B109" t="s">
        <v>135</v>
      </c>
    </row>
    <row r="110" spans="1:10" x14ac:dyDescent="0.25">
      <c r="A110" t="s">
        <v>114</v>
      </c>
      <c r="B110" t="s">
        <v>136</v>
      </c>
      <c r="C110">
        <v>-268437.96000000002</v>
      </c>
    </row>
    <row r="111" spans="1:10" x14ac:dyDescent="0.25">
      <c r="A111" t="s">
        <v>115</v>
      </c>
      <c r="B111" t="s">
        <v>137</v>
      </c>
      <c r="C111">
        <v>31541938.829999998</v>
      </c>
      <c r="F111">
        <v>105409</v>
      </c>
      <c r="J111">
        <v>2.6074999999999999</v>
      </c>
    </row>
    <row r="112" spans="1:10" x14ac:dyDescent="0.25">
      <c r="A112" t="s">
        <v>115</v>
      </c>
      <c r="B112" t="s">
        <v>131</v>
      </c>
      <c r="C112">
        <v>33286091.140000001</v>
      </c>
      <c r="F112">
        <v>381121</v>
      </c>
      <c r="J112" s="14">
        <v>0.92979999999999996</v>
      </c>
    </row>
    <row r="113" spans="1:10" x14ac:dyDescent="0.25">
      <c r="A113" t="s">
        <v>115</v>
      </c>
      <c r="B113" t="s">
        <v>133</v>
      </c>
      <c r="C113">
        <v>16286342.84</v>
      </c>
      <c r="F113">
        <v>105018</v>
      </c>
      <c r="J113">
        <v>0.2828</v>
      </c>
    </row>
    <row r="114" spans="1:10" x14ac:dyDescent="0.25">
      <c r="A114" t="s">
        <v>115</v>
      </c>
      <c r="B114" t="s">
        <v>134</v>
      </c>
      <c r="C114">
        <v>22478.35</v>
      </c>
    </row>
    <row r="115" spans="1:10" x14ac:dyDescent="0.25">
      <c r="A115" t="s">
        <v>115</v>
      </c>
      <c r="B115" t="s">
        <v>135</v>
      </c>
    </row>
    <row r="116" spans="1:10" x14ac:dyDescent="0.25">
      <c r="A116" t="s">
        <v>115</v>
      </c>
      <c r="B116" t="s">
        <v>136</v>
      </c>
      <c r="C116">
        <v>-1308588.6100000001</v>
      </c>
    </row>
    <row r="117" spans="1:10" x14ac:dyDescent="0.25">
      <c r="A117" t="s">
        <v>116</v>
      </c>
      <c r="B117" t="s">
        <v>137</v>
      </c>
      <c r="C117">
        <v>31695086.449999999</v>
      </c>
      <c r="F117">
        <v>105592</v>
      </c>
      <c r="J117">
        <v>2.2616999999999998</v>
      </c>
    </row>
    <row r="118" spans="1:10" x14ac:dyDescent="0.25">
      <c r="A118" t="s">
        <v>116</v>
      </c>
      <c r="B118" t="s">
        <v>131</v>
      </c>
      <c r="C118">
        <v>31523953.940000001</v>
      </c>
      <c r="F118">
        <v>374585</v>
      </c>
      <c r="J118" s="14">
        <v>0.94130000000000003</v>
      </c>
    </row>
    <row r="119" spans="1:10" x14ac:dyDescent="0.25">
      <c r="A119" t="s">
        <v>116</v>
      </c>
      <c r="B119" t="s">
        <v>133</v>
      </c>
      <c r="C119">
        <v>16495358.189999999</v>
      </c>
      <c r="F119">
        <v>104708</v>
      </c>
      <c r="J119">
        <v>0.23019999999999999</v>
      </c>
    </row>
    <row r="120" spans="1:10" x14ac:dyDescent="0.25">
      <c r="A120" t="s">
        <v>116</v>
      </c>
      <c r="B120" t="s">
        <v>134</v>
      </c>
      <c r="C120">
        <v>22579.34</v>
      </c>
    </row>
    <row r="121" spans="1:10" x14ac:dyDescent="0.25">
      <c r="A121" t="s">
        <v>116</v>
      </c>
      <c r="B121" t="s">
        <v>135</v>
      </c>
    </row>
    <row r="122" spans="1:10" x14ac:dyDescent="0.25">
      <c r="A122" t="s">
        <v>116</v>
      </c>
      <c r="B122" t="s">
        <v>136</v>
      </c>
      <c r="C122">
        <v>-1870965.03</v>
      </c>
    </row>
    <row r="123" spans="1:10" x14ac:dyDescent="0.25">
      <c r="A123" t="s">
        <v>117</v>
      </c>
      <c r="B123" t="s">
        <v>137</v>
      </c>
      <c r="C123">
        <v>31756830.82</v>
      </c>
      <c r="F123">
        <v>107204</v>
      </c>
      <c r="J123">
        <v>2.3837000000000002</v>
      </c>
    </row>
    <row r="124" spans="1:10" x14ac:dyDescent="0.25">
      <c r="A124" t="s">
        <v>117</v>
      </c>
      <c r="B124" t="s">
        <v>131</v>
      </c>
      <c r="C124">
        <v>33648299.869999997</v>
      </c>
      <c r="F124">
        <v>381301</v>
      </c>
      <c r="J124" s="14">
        <v>1.0207999999999999</v>
      </c>
    </row>
    <row r="125" spans="1:10" x14ac:dyDescent="0.25">
      <c r="A125" t="s">
        <v>117</v>
      </c>
      <c r="B125" t="s">
        <v>133</v>
      </c>
      <c r="C125">
        <v>16609379.18</v>
      </c>
      <c r="F125">
        <v>105134</v>
      </c>
      <c r="J125">
        <v>0.25019999999999998</v>
      </c>
    </row>
    <row r="126" spans="1:10" x14ac:dyDescent="0.25">
      <c r="A126" t="s">
        <v>117</v>
      </c>
      <c r="B126" t="s">
        <v>134</v>
      </c>
      <c r="C126">
        <v>21522.5</v>
      </c>
    </row>
    <row r="127" spans="1:10" x14ac:dyDescent="0.25">
      <c r="A127" t="s">
        <v>117</v>
      </c>
      <c r="B127" t="s">
        <v>135</v>
      </c>
    </row>
    <row r="128" spans="1:10" x14ac:dyDescent="0.25">
      <c r="A128" t="s">
        <v>117</v>
      </c>
      <c r="B128" t="s">
        <v>136</v>
      </c>
      <c r="C128">
        <v>-1421169.22</v>
      </c>
    </row>
    <row r="129" spans="1:10" x14ac:dyDescent="0.25">
      <c r="A129" t="s">
        <v>118</v>
      </c>
      <c r="B129" t="s">
        <v>137</v>
      </c>
      <c r="C129">
        <v>31924428.039999999</v>
      </c>
      <c r="F129">
        <v>107374</v>
      </c>
      <c r="J129">
        <v>2.2816000000000001</v>
      </c>
    </row>
    <row r="130" spans="1:10" x14ac:dyDescent="0.25">
      <c r="A130" t="s">
        <v>118</v>
      </c>
      <c r="B130" t="s">
        <v>131</v>
      </c>
      <c r="C130">
        <v>31947440.25</v>
      </c>
      <c r="F130">
        <v>374214</v>
      </c>
      <c r="J130" s="14">
        <v>0.84570000000000001</v>
      </c>
    </row>
    <row r="131" spans="1:10" x14ac:dyDescent="0.25">
      <c r="A131" t="s">
        <v>118</v>
      </c>
      <c r="B131" t="s">
        <v>133</v>
      </c>
      <c r="C131">
        <v>16450194.76</v>
      </c>
      <c r="F131">
        <v>103936</v>
      </c>
      <c r="J131">
        <v>0.255</v>
      </c>
    </row>
    <row r="132" spans="1:10" x14ac:dyDescent="0.25">
      <c r="A132" t="s">
        <v>118</v>
      </c>
      <c r="B132" t="s">
        <v>134</v>
      </c>
      <c r="C132">
        <v>15602.14</v>
      </c>
    </row>
    <row r="133" spans="1:10" x14ac:dyDescent="0.25">
      <c r="A133" t="s">
        <v>118</v>
      </c>
      <c r="B133" t="s">
        <v>135</v>
      </c>
      <c r="C133">
        <v>1305960.3999999999</v>
      </c>
    </row>
    <row r="134" spans="1:10" x14ac:dyDescent="0.25">
      <c r="A134" t="s">
        <v>118</v>
      </c>
      <c r="B134" t="s">
        <v>136</v>
      </c>
      <c r="C134">
        <v>-1740547.61</v>
      </c>
    </row>
    <row r="135" spans="1:10" x14ac:dyDescent="0.25">
      <c r="A135" t="s">
        <v>119</v>
      </c>
      <c r="B135" t="s">
        <v>137</v>
      </c>
      <c r="C135">
        <v>32012386.530000001</v>
      </c>
      <c r="F135">
        <v>106525</v>
      </c>
      <c r="J135">
        <v>2.5909</v>
      </c>
    </row>
    <row r="136" spans="1:10" x14ac:dyDescent="0.25">
      <c r="A136" t="s">
        <v>119</v>
      </c>
      <c r="B136" t="s">
        <v>131</v>
      </c>
      <c r="C136">
        <v>30407306.100000001</v>
      </c>
      <c r="F136">
        <v>365466</v>
      </c>
      <c r="J136" s="14">
        <v>0.93789999999999996</v>
      </c>
    </row>
    <row r="137" spans="1:10" x14ac:dyDescent="0.25">
      <c r="A137" t="s">
        <v>119</v>
      </c>
      <c r="B137" t="s">
        <v>133</v>
      </c>
      <c r="C137">
        <v>15773882.060000001</v>
      </c>
      <c r="F137">
        <v>102974</v>
      </c>
      <c r="J137">
        <v>0.21460000000000001</v>
      </c>
    </row>
    <row r="138" spans="1:10" x14ac:dyDescent="0.25">
      <c r="A138" t="s">
        <v>119</v>
      </c>
      <c r="B138" t="s">
        <v>134</v>
      </c>
      <c r="C138">
        <v>27601.97</v>
      </c>
    </row>
    <row r="139" spans="1:10" x14ac:dyDescent="0.25">
      <c r="A139" t="s">
        <v>119</v>
      </c>
      <c r="B139" t="s">
        <v>135</v>
      </c>
      <c r="C139">
        <v>1397554.08</v>
      </c>
    </row>
    <row r="140" spans="1:10" x14ac:dyDescent="0.25">
      <c r="A140" t="s">
        <v>119</v>
      </c>
      <c r="B140" t="s">
        <v>136</v>
      </c>
      <c r="C140">
        <v>-1688408.59</v>
      </c>
    </row>
    <row r="141" spans="1:10" x14ac:dyDescent="0.25">
      <c r="A141" t="s">
        <v>120</v>
      </c>
      <c r="B141" t="s">
        <v>137</v>
      </c>
      <c r="C141">
        <v>31420732.48</v>
      </c>
      <c r="F141">
        <v>106046</v>
      </c>
      <c r="J141">
        <v>2.5947</v>
      </c>
    </row>
    <row r="142" spans="1:10" x14ac:dyDescent="0.25">
      <c r="A142" t="s">
        <v>120</v>
      </c>
      <c r="B142" t="s">
        <v>131</v>
      </c>
      <c r="C142">
        <v>32036128.32</v>
      </c>
      <c r="F142">
        <v>373413</v>
      </c>
      <c r="J142" s="14">
        <v>0.9335</v>
      </c>
    </row>
    <row r="143" spans="1:10" x14ac:dyDescent="0.25">
      <c r="A143" t="s">
        <v>120</v>
      </c>
      <c r="B143" t="s">
        <v>133</v>
      </c>
      <c r="C143">
        <v>16247699.699999999</v>
      </c>
      <c r="F143">
        <v>102423</v>
      </c>
      <c r="J143">
        <v>20.5198</v>
      </c>
    </row>
    <row r="144" spans="1:10" x14ac:dyDescent="0.25">
      <c r="A144" t="s">
        <v>120</v>
      </c>
      <c r="B144" t="s">
        <v>134</v>
      </c>
      <c r="C144">
        <v>21885.360000000001</v>
      </c>
    </row>
    <row r="145" spans="1:12" x14ac:dyDescent="0.25">
      <c r="A145" t="s">
        <v>120</v>
      </c>
      <c r="B145" t="s">
        <v>135</v>
      </c>
      <c r="C145">
        <v>7058659.2400000002</v>
      </c>
    </row>
    <row r="146" spans="1:12" x14ac:dyDescent="0.25">
      <c r="A146" t="s">
        <v>120</v>
      </c>
      <c r="B146" t="s">
        <v>136</v>
      </c>
      <c r="C146">
        <v>18916490</v>
      </c>
    </row>
    <row r="147" spans="1:12" x14ac:dyDescent="0.25">
      <c r="A147" t="s">
        <v>121</v>
      </c>
      <c r="B147" t="s">
        <v>137</v>
      </c>
      <c r="C147">
        <v>31595946.800000001</v>
      </c>
      <c r="D147">
        <v>31354854</v>
      </c>
      <c r="F147">
        <v>107275</v>
      </c>
      <c r="G147" s="15">
        <v>106985</v>
      </c>
      <c r="J147">
        <v>2.6063999999999998</v>
      </c>
      <c r="L147" s="16">
        <v>293.08</v>
      </c>
    </row>
    <row r="148" spans="1:12" x14ac:dyDescent="0.25">
      <c r="A148" t="s">
        <v>121</v>
      </c>
      <c r="B148" t="s">
        <v>131</v>
      </c>
      <c r="C148">
        <v>31323456.690000001</v>
      </c>
      <c r="D148">
        <v>30891894.32</v>
      </c>
      <c r="F148">
        <v>367746</v>
      </c>
      <c r="J148" s="14">
        <v>0.95499999999999996</v>
      </c>
      <c r="L148" s="16"/>
    </row>
    <row r="149" spans="1:12" x14ac:dyDescent="0.25">
      <c r="A149" t="s">
        <v>121</v>
      </c>
      <c r="B149" t="s">
        <v>133</v>
      </c>
      <c r="C149">
        <v>14608824.76</v>
      </c>
      <c r="D149">
        <v>12408697.210000001</v>
      </c>
      <c r="F149">
        <v>101814</v>
      </c>
      <c r="G149" s="15">
        <v>102654</v>
      </c>
      <c r="J149">
        <v>0.21310000000000001</v>
      </c>
      <c r="L149" s="16">
        <v>120.28</v>
      </c>
    </row>
    <row r="150" spans="1:12" x14ac:dyDescent="0.25">
      <c r="A150" t="s">
        <v>121</v>
      </c>
      <c r="B150" t="s">
        <v>136</v>
      </c>
      <c r="C150">
        <v>11275161.650000015</v>
      </c>
      <c r="D150">
        <v>5619086.9773285501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O524"/>
  <sheetViews>
    <sheetView tabSelected="1" workbookViewId="0">
      <pane ySplit="4" topLeftCell="A492" activePane="bottomLeft" state="frozen"/>
      <selection pane="bottomLeft" activeCell="E506" sqref="E506"/>
    </sheetView>
  </sheetViews>
  <sheetFormatPr defaultRowHeight="15" x14ac:dyDescent="0.25"/>
  <cols>
    <col min="1" max="1" width="12" customWidth="1"/>
    <col min="2" max="2" width="26" customWidth="1"/>
    <col min="3" max="14" width="14" customWidth="1"/>
    <col min="15" max="15" width="15.7109375" customWidth="1"/>
  </cols>
  <sheetData>
    <row r="1" spans="1:15" ht="27.95" customHeight="1" x14ac:dyDescent="0.25">
      <c r="A1" s="41" t="s">
        <v>138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5" ht="18" customHeight="1" x14ac:dyDescent="0.25">
      <c r="A2" s="39" t="s">
        <v>139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5" ht="36" customHeight="1" x14ac:dyDescent="0.25">
      <c r="A3" s="5" t="s">
        <v>63</v>
      </c>
      <c r="B3" s="5" t="s">
        <v>124</v>
      </c>
      <c r="C3" s="5" t="s">
        <v>65</v>
      </c>
      <c r="D3" s="5" t="s">
        <v>66</v>
      </c>
      <c r="E3" s="5" t="s">
        <v>67</v>
      </c>
      <c r="F3" s="5" t="s">
        <v>140</v>
      </c>
      <c r="G3" s="5" t="s">
        <v>141</v>
      </c>
      <c r="H3" s="5" t="s">
        <v>70</v>
      </c>
      <c r="I3" s="5" t="s">
        <v>142</v>
      </c>
      <c r="J3" s="5" t="s">
        <v>143</v>
      </c>
      <c r="K3" s="5" t="s">
        <v>144</v>
      </c>
      <c r="L3" s="5" t="s">
        <v>474</v>
      </c>
      <c r="M3" s="5" t="s">
        <v>475</v>
      </c>
      <c r="N3" s="5" t="s">
        <v>145</v>
      </c>
      <c r="O3" s="38" t="s">
        <v>473</v>
      </c>
    </row>
    <row r="4" spans="1:15" ht="32.1" customHeight="1" x14ac:dyDescent="0.25">
      <c r="A4" s="4" t="s">
        <v>418</v>
      </c>
      <c r="B4" s="4" t="s">
        <v>476</v>
      </c>
      <c r="C4" s="4">
        <v>10544308.380000001</v>
      </c>
      <c r="D4" s="4">
        <v>0</v>
      </c>
      <c r="E4" s="4" t="s">
        <v>82</v>
      </c>
      <c r="F4" s="4" t="s">
        <v>146</v>
      </c>
      <c r="G4" s="4" t="s">
        <v>147</v>
      </c>
      <c r="H4" s="4" t="s">
        <v>148</v>
      </c>
      <c r="I4" s="4" t="s">
        <v>149</v>
      </c>
      <c r="J4" s="4" t="s">
        <v>150</v>
      </c>
      <c r="K4" s="4" t="s">
        <v>151</v>
      </c>
      <c r="L4" s="4"/>
      <c r="M4" s="4"/>
      <c r="N4" s="4" t="s">
        <v>152</v>
      </c>
    </row>
    <row r="5" spans="1:15" x14ac:dyDescent="0.25">
      <c r="A5" t="s">
        <v>418</v>
      </c>
      <c r="B5" t="s">
        <v>419</v>
      </c>
      <c r="C5">
        <v>229267.46</v>
      </c>
      <c r="D5">
        <v>0</v>
      </c>
    </row>
    <row r="6" spans="1:15" x14ac:dyDescent="0.25">
      <c r="A6" t="s">
        <v>418</v>
      </c>
      <c r="B6" t="s">
        <v>420</v>
      </c>
      <c r="C6">
        <v>0</v>
      </c>
      <c r="D6">
        <v>0</v>
      </c>
    </row>
    <row r="7" spans="1:15" x14ac:dyDescent="0.25">
      <c r="A7" t="s">
        <v>418</v>
      </c>
      <c r="B7" t="s">
        <v>421</v>
      </c>
      <c r="C7">
        <v>13206878.200000001</v>
      </c>
      <c r="D7">
        <v>0</v>
      </c>
    </row>
    <row r="8" spans="1:15" x14ac:dyDescent="0.25">
      <c r="A8" t="s">
        <v>418</v>
      </c>
      <c r="B8" t="s">
        <v>422</v>
      </c>
      <c r="C8">
        <v>2254779.0499999998</v>
      </c>
      <c r="D8">
        <v>0</v>
      </c>
    </row>
    <row r="9" spans="1:15" x14ac:dyDescent="0.25">
      <c r="A9" t="s">
        <v>418</v>
      </c>
      <c r="B9" t="s">
        <v>423</v>
      </c>
      <c r="C9">
        <v>7122822.5800000001</v>
      </c>
      <c r="D9">
        <v>0</v>
      </c>
    </row>
    <row r="10" spans="1:15" x14ac:dyDescent="0.25">
      <c r="A10" t="s">
        <v>418</v>
      </c>
      <c r="B10" t="s">
        <v>424</v>
      </c>
      <c r="C10">
        <v>13503190.93</v>
      </c>
      <c r="D10">
        <v>0</v>
      </c>
    </row>
    <row r="11" spans="1:15" x14ac:dyDescent="0.25">
      <c r="A11" t="s">
        <v>418</v>
      </c>
      <c r="B11" t="s">
        <v>153</v>
      </c>
      <c r="C11">
        <v>3658766.73</v>
      </c>
      <c r="D11">
        <v>0</v>
      </c>
    </row>
    <row r="12" spans="1:15" x14ac:dyDescent="0.25">
      <c r="A12" t="s">
        <v>418</v>
      </c>
      <c r="B12" t="s">
        <v>425</v>
      </c>
      <c r="C12">
        <v>615231.26</v>
      </c>
      <c r="D12">
        <v>0</v>
      </c>
    </row>
    <row r="13" spans="1:15" x14ac:dyDescent="0.25">
      <c r="A13" t="s">
        <v>418</v>
      </c>
      <c r="B13" t="s">
        <v>426</v>
      </c>
      <c r="C13">
        <v>3016496.3900000006</v>
      </c>
      <c r="D13">
        <v>0</v>
      </c>
    </row>
    <row r="14" spans="1:15" x14ac:dyDescent="0.25">
      <c r="A14" t="s">
        <v>418</v>
      </c>
      <c r="B14" t="s">
        <v>427</v>
      </c>
      <c r="C14">
        <v>-2647142.999999993</v>
      </c>
      <c r="D14">
        <v>0</v>
      </c>
    </row>
    <row r="15" spans="1:15" x14ac:dyDescent="0.25">
      <c r="A15" t="s">
        <v>428</v>
      </c>
      <c r="B15" t="s">
        <v>476</v>
      </c>
      <c r="C15">
        <v>9982177.8200000003</v>
      </c>
      <c r="D15">
        <v>0</v>
      </c>
    </row>
    <row r="16" spans="1:15" x14ac:dyDescent="0.25">
      <c r="A16" t="s">
        <v>428</v>
      </c>
      <c r="B16" t="s">
        <v>419</v>
      </c>
      <c r="C16">
        <v>388050.39</v>
      </c>
      <c r="D16">
        <v>0</v>
      </c>
    </row>
    <row r="17" spans="1:4" x14ac:dyDescent="0.25">
      <c r="A17" t="s">
        <v>428</v>
      </c>
      <c r="B17" t="s">
        <v>420</v>
      </c>
      <c r="C17">
        <v>0</v>
      </c>
      <c r="D17">
        <v>0</v>
      </c>
    </row>
    <row r="18" spans="1:4" x14ac:dyDescent="0.25">
      <c r="A18" t="s">
        <v>428</v>
      </c>
      <c r="B18" t="s">
        <v>421</v>
      </c>
      <c r="C18">
        <v>12970630.27</v>
      </c>
      <c r="D18">
        <v>0</v>
      </c>
    </row>
    <row r="19" spans="1:4" x14ac:dyDescent="0.25">
      <c r="A19" t="s">
        <v>428</v>
      </c>
      <c r="B19" t="s">
        <v>422</v>
      </c>
      <c r="C19">
        <v>2213411.35</v>
      </c>
      <c r="D19">
        <v>0</v>
      </c>
    </row>
    <row r="20" spans="1:4" x14ac:dyDescent="0.25">
      <c r="A20" t="s">
        <v>428</v>
      </c>
      <c r="B20" t="s">
        <v>423</v>
      </c>
      <c r="C20">
        <v>7164635.2999999998</v>
      </c>
      <c r="D20">
        <v>0</v>
      </c>
    </row>
    <row r="21" spans="1:4" x14ac:dyDescent="0.25">
      <c r="A21" t="s">
        <v>428</v>
      </c>
      <c r="B21" t="s">
        <v>424</v>
      </c>
      <c r="C21">
        <v>13139524.01</v>
      </c>
      <c r="D21">
        <v>0</v>
      </c>
    </row>
    <row r="22" spans="1:4" x14ac:dyDescent="0.25">
      <c r="A22" t="s">
        <v>428</v>
      </c>
      <c r="B22" t="s">
        <v>153</v>
      </c>
      <c r="C22">
        <v>2166183.350000001</v>
      </c>
      <c r="D22">
        <v>0</v>
      </c>
    </row>
    <row r="23" spans="1:4" x14ac:dyDescent="0.25">
      <c r="A23" t="s">
        <v>428</v>
      </c>
      <c r="B23" t="s">
        <v>425</v>
      </c>
      <c r="C23">
        <v>590371.6</v>
      </c>
      <c r="D23">
        <v>0</v>
      </c>
    </row>
    <row r="24" spans="1:4" x14ac:dyDescent="0.25">
      <c r="A24" t="s">
        <v>428</v>
      </c>
      <c r="B24" t="s">
        <v>426</v>
      </c>
      <c r="C24">
        <v>4594605.1999999993</v>
      </c>
      <c r="D24">
        <v>0</v>
      </c>
    </row>
    <row r="25" spans="1:4" x14ac:dyDescent="0.25">
      <c r="A25" t="s">
        <v>428</v>
      </c>
      <c r="B25" t="s">
        <v>427</v>
      </c>
      <c r="C25">
        <v>3714438.7499999991</v>
      </c>
      <c r="D25">
        <v>0</v>
      </c>
    </row>
    <row r="26" spans="1:4" x14ac:dyDescent="0.25">
      <c r="A26" t="s">
        <v>429</v>
      </c>
      <c r="B26" t="s">
        <v>476</v>
      </c>
      <c r="C26">
        <v>9882476.1800000016</v>
      </c>
      <c r="D26">
        <v>0</v>
      </c>
    </row>
    <row r="27" spans="1:4" x14ac:dyDescent="0.25">
      <c r="A27" t="s">
        <v>429</v>
      </c>
      <c r="B27" t="s">
        <v>419</v>
      </c>
      <c r="C27">
        <v>369814.78</v>
      </c>
      <c r="D27">
        <v>0</v>
      </c>
    </row>
    <row r="28" spans="1:4" x14ac:dyDescent="0.25">
      <c r="A28" t="s">
        <v>429</v>
      </c>
      <c r="B28" t="s">
        <v>420</v>
      </c>
      <c r="C28">
        <v>0</v>
      </c>
      <c r="D28">
        <v>0</v>
      </c>
    </row>
    <row r="29" spans="1:4" x14ac:dyDescent="0.25">
      <c r="A29" t="s">
        <v>429</v>
      </c>
      <c r="B29" t="s">
        <v>421</v>
      </c>
      <c r="C29">
        <v>12875958.430000002</v>
      </c>
      <c r="D29">
        <v>0</v>
      </c>
    </row>
    <row r="30" spans="1:4" x14ac:dyDescent="0.25">
      <c r="A30" t="s">
        <v>429</v>
      </c>
      <c r="B30" t="s">
        <v>422</v>
      </c>
      <c r="C30">
        <v>2592395.11</v>
      </c>
      <c r="D30">
        <v>0</v>
      </c>
    </row>
    <row r="31" spans="1:4" x14ac:dyDescent="0.25">
      <c r="A31" t="s">
        <v>429</v>
      </c>
      <c r="B31" t="s">
        <v>423</v>
      </c>
      <c r="C31">
        <v>6642609.9399999995</v>
      </c>
      <c r="D31">
        <v>0</v>
      </c>
    </row>
    <row r="32" spans="1:4" x14ac:dyDescent="0.25">
      <c r="A32" t="s">
        <v>429</v>
      </c>
      <c r="B32" t="s">
        <v>424</v>
      </c>
      <c r="C32">
        <v>13431895.799999999</v>
      </c>
      <c r="D32">
        <v>0</v>
      </c>
    </row>
    <row r="33" spans="1:4" x14ac:dyDescent="0.25">
      <c r="A33" t="s">
        <v>429</v>
      </c>
      <c r="B33" t="s">
        <v>153</v>
      </c>
      <c r="C33">
        <v>7410570.1400000006</v>
      </c>
      <c r="D33">
        <v>0</v>
      </c>
    </row>
    <row r="34" spans="1:4" x14ac:dyDescent="0.25">
      <c r="A34" t="s">
        <v>429</v>
      </c>
      <c r="B34" t="s">
        <v>425</v>
      </c>
      <c r="C34">
        <v>622539.99</v>
      </c>
      <c r="D34">
        <v>0</v>
      </c>
    </row>
    <row r="35" spans="1:4" x14ac:dyDescent="0.25">
      <c r="A35" t="s">
        <v>429</v>
      </c>
      <c r="B35" t="s">
        <v>426</v>
      </c>
      <c r="C35">
        <v>3809692.2399999998</v>
      </c>
      <c r="D35">
        <v>0</v>
      </c>
    </row>
    <row r="36" spans="1:4" x14ac:dyDescent="0.25">
      <c r="A36" t="s">
        <v>429</v>
      </c>
      <c r="B36" t="s">
        <v>427</v>
      </c>
      <c r="C36">
        <v>-2584832.5199999991</v>
      </c>
      <c r="D36">
        <v>0</v>
      </c>
    </row>
    <row r="37" spans="1:4" x14ac:dyDescent="0.25">
      <c r="A37" t="s">
        <v>430</v>
      </c>
      <c r="B37" t="s">
        <v>476</v>
      </c>
      <c r="C37">
        <v>10151603.220000001</v>
      </c>
      <c r="D37">
        <v>0</v>
      </c>
    </row>
    <row r="38" spans="1:4" x14ac:dyDescent="0.25">
      <c r="A38" t="s">
        <v>430</v>
      </c>
      <c r="B38" t="s">
        <v>419</v>
      </c>
      <c r="C38">
        <v>348009.30000000005</v>
      </c>
      <c r="D38">
        <v>0</v>
      </c>
    </row>
    <row r="39" spans="1:4" x14ac:dyDescent="0.25">
      <c r="A39" t="s">
        <v>430</v>
      </c>
      <c r="B39" t="s">
        <v>420</v>
      </c>
      <c r="C39">
        <v>0</v>
      </c>
      <c r="D39">
        <v>0</v>
      </c>
    </row>
    <row r="40" spans="1:4" x14ac:dyDescent="0.25">
      <c r="A40" t="s">
        <v>430</v>
      </c>
      <c r="B40" t="s">
        <v>421</v>
      </c>
      <c r="C40">
        <v>12801890.92</v>
      </c>
      <c r="D40">
        <v>0</v>
      </c>
    </row>
    <row r="41" spans="1:4" x14ac:dyDescent="0.25">
      <c r="A41" t="s">
        <v>430</v>
      </c>
      <c r="B41" t="s">
        <v>422</v>
      </c>
      <c r="C41">
        <v>2276841.21</v>
      </c>
      <c r="D41">
        <v>0</v>
      </c>
    </row>
    <row r="42" spans="1:4" x14ac:dyDescent="0.25">
      <c r="A42" t="s">
        <v>430</v>
      </c>
      <c r="B42" t="s">
        <v>423</v>
      </c>
      <c r="C42">
        <v>6737317.6800000006</v>
      </c>
      <c r="D42">
        <v>0</v>
      </c>
    </row>
    <row r="43" spans="1:4" x14ac:dyDescent="0.25">
      <c r="A43" t="s">
        <v>430</v>
      </c>
      <c r="B43" t="s">
        <v>424</v>
      </c>
      <c r="C43">
        <v>13172426.120000001</v>
      </c>
      <c r="D43">
        <v>0</v>
      </c>
    </row>
    <row r="44" spans="1:4" x14ac:dyDescent="0.25">
      <c r="A44" t="s">
        <v>430</v>
      </c>
      <c r="B44" t="s">
        <v>153</v>
      </c>
      <c r="C44">
        <v>2663587.67</v>
      </c>
      <c r="D44">
        <v>0</v>
      </c>
    </row>
    <row r="45" spans="1:4" x14ac:dyDescent="0.25">
      <c r="A45" t="s">
        <v>430</v>
      </c>
      <c r="B45" t="s">
        <v>425</v>
      </c>
      <c r="C45">
        <v>510349.55000000005</v>
      </c>
      <c r="D45">
        <v>0</v>
      </c>
    </row>
    <row r="46" spans="1:4" x14ac:dyDescent="0.25">
      <c r="A46" t="s">
        <v>430</v>
      </c>
      <c r="B46" t="s">
        <v>426</v>
      </c>
      <c r="C46">
        <v>3566170.4100000011</v>
      </c>
      <c r="D46">
        <v>0</v>
      </c>
    </row>
    <row r="47" spans="1:4" x14ac:dyDescent="0.25">
      <c r="A47" t="s">
        <v>430</v>
      </c>
      <c r="B47" t="s">
        <v>427</v>
      </c>
      <c r="C47">
        <v>-1108531.4199999841</v>
      </c>
      <c r="D47">
        <v>0</v>
      </c>
    </row>
    <row r="48" spans="1:4" x14ac:dyDescent="0.25">
      <c r="A48" t="s">
        <v>431</v>
      </c>
      <c r="B48" t="s">
        <v>476</v>
      </c>
      <c r="C48">
        <v>10010664.909999998</v>
      </c>
      <c r="D48">
        <v>0</v>
      </c>
    </row>
    <row r="49" spans="1:4" x14ac:dyDescent="0.25">
      <c r="A49" t="s">
        <v>431</v>
      </c>
      <c r="B49" t="s">
        <v>419</v>
      </c>
      <c r="C49">
        <v>597059.85</v>
      </c>
      <c r="D49">
        <v>0</v>
      </c>
    </row>
    <row r="50" spans="1:4" x14ac:dyDescent="0.25">
      <c r="A50" t="s">
        <v>431</v>
      </c>
      <c r="B50" t="s">
        <v>420</v>
      </c>
      <c r="C50">
        <v>0</v>
      </c>
      <c r="D50">
        <v>0</v>
      </c>
    </row>
    <row r="51" spans="1:4" x14ac:dyDescent="0.25">
      <c r="A51" t="s">
        <v>431</v>
      </c>
      <c r="B51" t="s">
        <v>421</v>
      </c>
      <c r="C51">
        <v>12933799.380000001</v>
      </c>
      <c r="D51">
        <v>0</v>
      </c>
    </row>
    <row r="52" spans="1:4" x14ac:dyDescent="0.25">
      <c r="A52" t="s">
        <v>431</v>
      </c>
      <c r="B52" t="s">
        <v>422</v>
      </c>
      <c r="C52">
        <v>2284396.04</v>
      </c>
      <c r="D52">
        <v>0</v>
      </c>
    </row>
    <row r="53" spans="1:4" x14ac:dyDescent="0.25">
      <c r="A53" t="s">
        <v>431</v>
      </c>
      <c r="B53" t="s">
        <v>423</v>
      </c>
      <c r="C53">
        <v>6726461.1700000009</v>
      </c>
      <c r="D53">
        <v>0</v>
      </c>
    </row>
    <row r="54" spans="1:4" x14ac:dyDescent="0.25">
      <c r="A54" t="s">
        <v>431</v>
      </c>
      <c r="B54" t="s">
        <v>424</v>
      </c>
      <c r="C54">
        <v>11627839.35</v>
      </c>
      <c r="D54">
        <v>0</v>
      </c>
    </row>
    <row r="55" spans="1:4" x14ac:dyDescent="0.25">
      <c r="A55" t="s">
        <v>431</v>
      </c>
      <c r="B55" t="s">
        <v>153</v>
      </c>
      <c r="C55">
        <v>944062.06</v>
      </c>
      <c r="D55">
        <v>0</v>
      </c>
    </row>
    <row r="56" spans="1:4" x14ac:dyDescent="0.25">
      <c r="A56" t="s">
        <v>431</v>
      </c>
      <c r="B56" t="s">
        <v>425</v>
      </c>
      <c r="C56">
        <v>529513.04</v>
      </c>
      <c r="D56">
        <v>0</v>
      </c>
    </row>
    <row r="57" spans="1:4" x14ac:dyDescent="0.25">
      <c r="A57" t="s">
        <v>431</v>
      </c>
      <c r="B57" t="s">
        <v>426</v>
      </c>
      <c r="C57">
        <v>3586403.05</v>
      </c>
      <c r="D57">
        <v>0</v>
      </c>
    </row>
    <row r="58" spans="1:4" x14ac:dyDescent="0.25">
      <c r="A58" t="s">
        <v>431</v>
      </c>
      <c r="B58" t="s">
        <v>427</v>
      </c>
      <c r="C58">
        <v>-4849413.1500000106</v>
      </c>
      <c r="D58">
        <v>0</v>
      </c>
    </row>
    <row r="59" spans="1:4" x14ac:dyDescent="0.25">
      <c r="A59" t="s">
        <v>432</v>
      </c>
      <c r="B59" t="s">
        <v>476</v>
      </c>
      <c r="C59">
        <v>10577540.52</v>
      </c>
      <c r="D59">
        <v>0</v>
      </c>
    </row>
    <row r="60" spans="1:4" x14ac:dyDescent="0.25">
      <c r="A60" t="s">
        <v>432</v>
      </c>
      <c r="B60" t="s">
        <v>419</v>
      </c>
      <c r="C60">
        <v>143449.37999999998</v>
      </c>
      <c r="D60">
        <v>0</v>
      </c>
    </row>
    <row r="61" spans="1:4" x14ac:dyDescent="0.25">
      <c r="A61" t="s">
        <v>432</v>
      </c>
      <c r="B61" t="s">
        <v>420</v>
      </c>
      <c r="C61">
        <v>0</v>
      </c>
      <c r="D61">
        <v>0</v>
      </c>
    </row>
    <row r="62" spans="1:4" x14ac:dyDescent="0.25">
      <c r="A62" t="s">
        <v>432</v>
      </c>
      <c r="B62" t="s">
        <v>421</v>
      </c>
      <c r="C62">
        <v>12018608.91</v>
      </c>
      <c r="D62">
        <v>0</v>
      </c>
    </row>
    <row r="63" spans="1:4" x14ac:dyDescent="0.25">
      <c r="A63" t="s">
        <v>432</v>
      </c>
      <c r="B63" t="s">
        <v>422</v>
      </c>
      <c r="C63">
        <v>2232979.62</v>
      </c>
      <c r="D63">
        <v>0</v>
      </c>
    </row>
    <row r="64" spans="1:4" x14ac:dyDescent="0.25">
      <c r="A64" t="s">
        <v>432</v>
      </c>
      <c r="B64" t="s">
        <v>423</v>
      </c>
      <c r="C64">
        <v>6516872.75</v>
      </c>
      <c r="D64">
        <v>0</v>
      </c>
    </row>
    <row r="65" spans="1:4" x14ac:dyDescent="0.25">
      <c r="A65" t="s">
        <v>432</v>
      </c>
      <c r="B65" t="s">
        <v>424</v>
      </c>
      <c r="C65">
        <v>11396691.210000001</v>
      </c>
      <c r="D65">
        <v>0</v>
      </c>
    </row>
    <row r="66" spans="1:4" x14ac:dyDescent="0.25">
      <c r="A66" t="s">
        <v>432</v>
      </c>
      <c r="B66" t="s">
        <v>153</v>
      </c>
      <c r="C66">
        <v>506664.64</v>
      </c>
      <c r="D66">
        <v>0</v>
      </c>
    </row>
    <row r="67" spans="1:4" x14ac:dyDescent="0.25">
      <c r="A67" t="s">
        <v>432</v>
      </c>
      <c r="B67" t="s">
        <v>425</v>
      </c>
      <c r="C67">
        <v>478843.72</v>
      </c>
      <c r="D67">
        <v>0</v>
      </c>
    </row>
    <row r="68" spans="1:4" x14ac:dyDescent="0.25">
      <c r="A68" t="s">
        <v>432</v>
      </c>
      <c r="B68" t="s">
        <v>426</v>
      </c>
      <c r="C68">
        <v>3698602.29</v>
      </c>
      <c r="D68">
        <v>0</v>
      </c>
    </row>
    <row r="69" spans="1:4" x14ac:dyDescent="0.25">
      <c r="A69" t="s">
        <v>432</v>
      </c>
      <c r="B69" t="s">
        <v>427</v>
      </c>
      <c r="C69">
        <v>-3961604.5099999872</v>
      </c>
      <c r="D69">
        <v>0</v>
      </c>
    </row>
    <row r="70" spans="1:4" x14ac:dyDescent="0.25">
      <c r="A70" t="s">
        <v>433</v>
      </c>
      <c r="B70" t="s">
        <v>476</v>
      </c>
      <c r="C70">
        <v>9691834.8300000001</v>
      </c>
      <c r="D70">
        <v>0</v>
      </c>
    </row>
    <row r="71" spans="1:4" x14ac:dyDescent="0.25">
      <c r="A71" t="s">
        <v>433</v>
      </c>
      <c r="B71" t="s">
        <v>419</v>
      </c>
      <c r="C71">
        <v>1595701.46</v>
      </c>
      <c r="D71">
        <v>0</v>
      </c>
    </row>
    <row r="72" spans="1:4" x14ac:dyDescent="0.25">
      <c r="A72" t="s">
        <v>433</v>
      </c>
      <c r="B72" t="s">
        <v>420</v>
      </c>
      <c r="C72">
        <v>0</v>
      </c>
      <c r="D72">
        <v>0</v>
      </c>
    </row>
    <row r="73" spans="1:4" x14ac:dyDescent="0.25">
      <c r="A73" t="s">
        <v>433</v>
      </c>
      <c r="B73" t="s">
        <v>421</v>
      </c>
      <c r="C73">
        <v>13300122.49</v>
      </c>
      <c r="D73">
        <v>0</v>
      </c>
    </row>
    <row r="74" spans="1:4" x14ac:dyDescent="0.25">
      <c r="A74" t="s">
        <v>433</v>
      </c>
      <c r="B74" t="s">
        <v>422</v>
      </c>
      <c r="C74">
        <v>2339553.96</v>
      </c>
      <c r="D74">
        <v>0</v>
      </c>
    </row>
    <row r="75" spans="1:4" x14ac:dyDescent="0.25">
      <c r="A75" t="s">
        <v>433</v>
      </c>
      <c r="B75" t="s">
        <v>423</v>
      </c>
      <c r="C75">
        <v>6076958.6999999993</v>
      </c>
      <c r="D75">
        <v>0</v>
      </c>
    </row>
    <row r="76" spans="1:4" x14ac:dyDescent="0.25">
      <c r="A76" t="s">
        <v>433</v>
      </c>
      <c r="B76" t="s">
        <v>424</v>
      </c>
      <c r="C76">
        <v>12644723.83</v>
      </c>
      <c r="D76">
        <v>0</v>
      </c>
    </row>
    <row r="77" spans="1:4" x14ac:dyDescent="0.25">
      <c r="A77" t="s">
        <v>433</v>
      </c>
      <c r="B77" t="s">
        <v>153</v>
      </c>
      <c r="C77">
        <v>1041247.7600000001</v>
      </c>
      <c r="D77">
        <v>0</v>
      </c>
    </row>
    <row r="78" spans="1:4" x14ac:dyDescent="0.25">
      <c r="A78" t="s">
        <v>433</v>
      </c>
      <c r="B78" t="s">
        <v>425</v>
      </c>
      <c r="C78">
        <v>517431.50000000006</v>
      </c>
      <c r="D78">
        <v>0</v>
      </c>
    </row>
    <row r="79" spans="1:4" x14ac:dyDescent="0.25">
      <c r="A79" t="s">
        <v>433</v>
      </c>
      <c r="B79" t="s">
        <v>426</v>
      </c>
      <c r="C79">
        <v>3627622.54</v>
      </c>
      <c r="D79">
        <v>0</v>
      </c>
    </row>
    <row r="80" spans="1:4" x14ac:dyDescent="0.25">
      <c r="A80" t="s">
        <v>433</v>
      </c>
      <c r="B80" t="s">
        <v>427</v>
      </c>
      <c r="C80">
        <v>861988.28000000562</v>
      </c>
      <c r="D80">
        <v>0</v>
      </c>
    </row>
    <row r="81" spans="1:4" x14ac:dyDescent="0.25">
      <c r="A81" t="s">
        <v>434</v>
      </c>
      <c r="B81" t="s">
        <v>476</v>
      </c>
      <c r="C81">
        <v>10043865.84</v>
      </c>
      <c r="D81">
        <v>0</v>
      </c>
    </row>
    <row r="82" spans="1:4" x14ac:dyDescent="0.25">
      <c r="A82" t="s">
        <v>434</v>
      </c>
      <c r="B82" t="s">
        <v>419</v>
      </c>
      <c r="C82">
        <v>184769.18</v>
      </c>
      <c r="D82">
        <v>0</v>
      </c>
    </row>
    <row r="83" spans="1:4" x14ac:dyDescent="0.25">
      <c r="A83" t="s">
        <v>434</v>
      </c>
      <c r="B83" t="s">
        <v>420</v>
      </c>
      <c r="C83">
        <v>0</v>
      </c>
      <c r="D83">
        <v>0</v>
      </c>
    </row>
    <row r="84" spans="1:4" x14ac:dyDescent="0.25">
      <c r="A84" t="s">
        <v>434</v>
      </c>
      <c r="B84" t="s">
        <v>421</v>
      </c>
      <c r="C84">
        <v>12676508.220000001</v>
      </c>
      <c r="D84">
        <v>0</v>
      </c>
    </row>
    <row r="85" spans="1:4" x14ac:dyDescent="0.25">
      <c r="A85" t="s">
        <v>434</v>
      </c>
      <c r="B85" t="s">
        <v>422</v>
      </c>
      <c r="C85">
        <v>2257464.69</v>
      </c>
      <c r="D85">
        <v>0</v>
      </c>
    </row>
    <row r="86" spans="1:4" x14ac:dyDescent="0.25">
      <c r="A86" t="s">
        <v>434</v>
      </c>
      <c r="B86" t="s">
        <v>423</v>
      </c>
      <c r="C86">
        <v>3690578.9000000004</v>
      </c>
      <c r="D86">
        <v>0</v>
      </c>
    </row>
    <row r="87" spans="1:4" x14ac:dyDescent="0.25">
      <c r="A87" t="s">
        <v>434</v>
      </c>
      <c r="B87" t="s">
        <v>424</v>
      </c>
      <c r="C87">
        <v>12235238.649999999</v>
      </c>
      <c r="D87">
        <v>0</v>
      </c>
    </row>
    <row r="88" spans="1:4" x14ac:dyDescent="0.25">
      <c r="A88" t="s">
        <v>434</v>
      </c>
      <c r="B88" t="s">
        <v>153</v>
      </c>
      <c r="C88">
        <v>5033604.72</v>
      </c>
      <c r="D88">
        <v>0</v>
      </c>
    </row>
    <row r="89" spans="1:4" x14ac:dyDescent="0.25">
      <c r="A89" t="s">
        <v>434</v>
      </c>
      <c r="B89" t="s">
        <v>425</v>
      </c>
      <c r="C89">
        <v>512717.47999999992</v>
      </c>
      <c r="D89">
        <v>0</v>
      </c>
    </row>
    <row r="90" spans="1:4" x14ac:dyDescent="0.25">
      <c r="A90" t="s">
        <v>434</v>
      </c>
      <c r="B90" t="s">
        <v>426</v>
      </c>
      <c r="C90">
        <v>3504821.78</v>
      </c>
      <c r="D90">
        <v>0</v>
      </c>
    </row>
    <row r="91" spans="1:4" x14ac:dyDescent="0.25">
      <c r="A91" t="s">
        <v>434</v>
      </c>
      <c r="B91" t="s">
        <v>427</v>
      </c>
      <c r="C91">
        <v>-1816461.2699999979</v>
      </c>
      <c r="D91">
        <v>0</v>
      </c>
    </row>
    <row r="92" spans="1:4" x14ac:dyDescent="0.25">
      <c r="A92" t="s">
        <v>435</v>
      </c>
      <c r="B92" t="s">
        <v>476</v>
      </c>
      <c r="C92">
        <v>10548914.720000001</v>
      </c>
      <c r="D92">
        <v>0</v>
      </c>
    </row>
    <row r="93" spans="1:4" x14ac:dyDescent="0.25">
      <c r="A93" t="s">
        <v>435</v>
      </c>
      <c r="B93" t="s">
        <v>419</v>
      </c>
      <c r="C93">
        <v>383548.38000000006</v>
      </c>
      <c r="D93">
        <v>0</v>
      </c>
    </row>
    <row r="94" spans="1:4" x14ac:dyDescent="0.25">
      <c r="A94" t="s">
        <v>435</v>
      </c>
      <c r="B94" t="s">
        <v>420</v>
      </c>
      <c r="C94">
        <v>0</v>
      </c>
      <c r="D94">
        <v>0</v>
      </c>
    </row>
    <row r="95" spans="1:4" x14ac:dyDescent="0.25">
      <c r="A95" t="s">
        <v>435</v>
      </c>
      <c r="B95" t="s">
        <v>421</v>
      </c>
      <c r="C95">
        <v>13531755.23</v>
      </c>
      <c r="D95">
        <v>0</v>
      </c>
    </row>
    <row r="96" spans="1:4" x14ac:dyDescent="0.25">
      <c r="A96" t="s">
        <v>435</v>
      </c>
      <c r="B96" t="s">
        <v>422</v>
      </c>
      <c r="C96">
        <v>2256452.79</v>
      </c>
      <c r="D96">
        <v>0</v>
      </c>
    </row>
    <row r="97" spans="1:4" x14ac:dyDescent="0.25">
      <c r="A97" t="s">
        <v>435</v>
      </c>
      <c r="B97" t="s">
        <v>423</v>
      </c>
      <c r="C97">
        <v>4910012.3400000008</v>
      </c>
      <c r="D97">
        <v>0</v>
      </c>
    </row>
    <row r="98" spans="1:4" x14ac:dyDescent="0.25">
      <c r="A98" t="s">
        <v>435</v>
      </c>
      <c r="B98" t="s">
        <v>436</v>
      </c>
      <c r="C98">
        <v>1594131.7100000002</v>
      </c>
      <c r="D98">
        <v>0</v>
      </c>
    </row>
    <row r="99" spans="1:4" x14ac:dyDescent="0.25">
      <c r="A99" t="s">
        <v>435</v>
      </c>
      <c r="B99" t="s">
        <v>424</v>
      </c>
      <c r="C99">
        <v>12718154.200000001</v>
      </c>
      <c r="D99">
        <v>0</v>
      </c>
    </row>
    <row r="100" spans="1:4" x14ac:dyDescent="0.25">
      <c r="A100" t="s">
        <v>435</v>
      </c>
      <c r="B100" t="s">
        <v>153</v>
      </c>
      <c r="C100">
        <v>3836674.63</v>
      </c>
      <c r="D100">
        <v>0</v>
      </c>
    </row>
    <row r="101" spans="1:4" x14ac:dyDescent="0.25">
      <c r="A101" t="s">
        <v>435</v>
      </c>
      <c r="B101" t="s">
        <v>425</v>
      </c>
      <c r="C101">
        <v>510425.38999999996</v>
      </c>
      <c r="D101">
        <v>0</v>
      </c>
    </row>
    <row r="102" spans="1:4" x14ac:dyDescent="0.25">
      <c r="A102" t="s">
        <v>435</v>
      </c>
      <c r="B102" t="s">
        <v>426</v>
      </c>
      <c r="C102">
        <v>3595410.97</v>
      </c>
      <c r="D102">
        <v>0</v>
      </c>
    </row>
    <row r="103" spans="1:4" x14ac:dyDescent="0.25">
      <c r="A103" t="s">
        <v>435</v>
      </c>
      <c r="B103" t="s">
        <v>427</v>
      </c>
      <c r="C103">
        <v>-1050047.7599999909</v>
      </c>
      <c r="D103">
        <v>0</v>
      </c>
    </row>
    <row r="104" spans="1:4" x14ac:dyDescent="0.25">
      <c r="A104" t="s">
        <v>437</v>
      </c>
      <c r="B104" t="s">
        <v>476</v>
      </c>
      <c r="C104">
        <v>10073079.890000001</v>
      </c>
      <c r="D104">
        <v>0</v>
      </c>
    </row>
    <row r="105" spans="1:4" x14ac:dyDescent="0.25">
      <c r="A105" t="s">
        <v>437</v>
      </c>
      <c r="B105" t="s">
        <v>419</v>
      </c>
      <c r="C105">
        <v>424056.62</v>
      </c>
      <c r="D105">
        <v>0</v>
      </c>
    </row>
    <row r="106" spans="1:4" x14ac:dyDescent="0.25">
      <c r="A106" t="s">
        <v>437</v>
      </c>
      <c r="B106" t="s">
        <v>420</v>
      </c>
      <c r="C106">
        <v>0</v>
      </c>
      <c r="D106">
        <v>0</v>
      </c>
    </row>
    <row r="107" spans="1:4" x14ac:dyDescent="0.25">
      <c r="A107" t="s">
        <v>437</v>
      </c>
      <c r="B107" t="s">
        <v>421</v>
      </c>
      <c r="C107">
        <v>12646984.209999999</v>
      </c>
      <c r="D107">
        <v>0</v>
      </c>
    </row>
    <row r="108" spans="1:4" x14ac:dyDescent="0.25">
      <c r="A108" t="s">
        <v>437</v>
      </c>
      <c r="B108" t="s">
        <v>422</v>
      </c>
      <c r="C108">
        <v>2184900.33</v>
      </c>
      <c r="D108">
        <v>0</v>
      </c>
    </row>
    <row r="109" spans="1:4" x14ac:dyDescent="0.25">
      <c r="A109" t="s">
        <v>437</v>
      </c>
      <c r="B109" t="s">
        <v>423</v>
      </c>
      <c r="C109">
        <v>4555449.38</v>
      </c>
      <c r="D109">
        <v>0</v>
      </c>
    </row>
    <row r="110" spans="1:4" x14ac:dyDescent="0.25">
      <c r="A110" t="s">
        <v>437</v>
      </c>
      <c r="B110" t="s">
        <v>436</v>
      </c>
      <c r="C110">
        <v>1219508.76</v>
      </c>
      <c r="D110">
        <v>0</v>
      </c>
    </row>
    <row r="111" spans="1:4" x14ac:dyDescent="0.25">
      <c r="A111" t="s">
        <v>437</v>
      </c>
      <c r="B111" t="s">
        <v>424</v>
      </c>
      <c r="C111">
        <v>12128351.34</v>
      </c>
      <c r="D111">
        <v>0</v>
      </c>
    </row>
    <row r="112" spans="1:4" x14ac:dyDescent="0.25">
      <c r="A112" t="s">
        <v>437</v>
      </c>
      <c r="B112" t="s">
        <v>153</v>
      </c>
      <c r="C112">
        <v>1573729.94</v>
      </c>
      <c r="D112">
        <v>0</v>
      </c>
    </row>
    <row r="113" spans="1:4" x14ac:dyDescent="0.25">
      <c r="A113" t="s">
        <v>437</v>
      </c>
      <c r="B113" t="s">
        <v>425</v>
      </c>
      <c r="C113">
        <v>518624.15000000008</v>
      </c>
      <c r="D113">
        <v>0</v>
      </c>
    </row>
    <row r="114" spans="1:4" x14ac:dyDescent="0.25">
      <c r="A114" t="s">
        <v>437</v>
      </c>
      <c r="B114" t="s">
        <v>426</v>
      </c>
      <c r="C114">
        <v>3482221.8</v>
      </c>
      <c r="D114">
        <v>0</v>
      </c>
    </row>
    <row r="115" spans="1:4" x14ac:dyDescent="0.25">
      <c r="A115" t="s">
        <v>437</v>
      </c>
      <c r="B115" t="s">
        <v>427</v>
      </c>
      <c r="C115">
        <v>-3051439.4600000051</v>
      </c>
      <c r="D115">
        <v>0</v>
      </c>
    </row>
    <row r="116" spans="1:4" x14ac:dyDescent="0.25">
      <c r="A116" t="s">
        <v>438</v>
      </c>
      <c r="B116" t="s">
        <v>476</v>
      </c>
      <c r="C116">
        <v>10526744.310000001</v>
      </c>
      <c r="D116">
        <v>0</v>
      </c>
    </row>
    <row r="117" spans="1:4" x14ac:dyDescent="0.25">
      <c r="A117" t="s">
        <v>438</v>
      </c>
      <c r="B117" t="s">
        <v>419</v>
      </c>
      <c r="C117">
        <v>133363.24</v>
      </c>
      <c r="D117">
        <v>0</v>
      </c>
    </row>
    <row r="118" spans="1:4" x14ac:dyDescent="0.25">
      <c r="A118" t="s">
        <v>438</v>
      </c>
      <c r="B118" t="s">
        <v>420</v>
      </c>
      <c r="C118">
        <v>0</v>
      </c>
      <c r="D118">
        <v>0</v>
      </c>
    </row>
    <row r="119" spans="1:4" x14ac:dyDescent="0.25">
      <c r="A119" t="s">
        <v>438</v>
      </c>
      <c r="B119" t="s">
        <v>421</v>
      </c>
      <c r="C119">
        <v>13650559.530000001</v>
      </c>
      <c r="D119">
        <v>0</v>
      </c>
    </row>
    <row r="120" spans="1:4" x14ac:dyDescent="0.25">
      <c r="A120" t="s">
        <v>438</v>
      </c>
      <c r="B120" t="s">
        <v>422</v>
      </c>
      <c r="C120">
        <v>3317264.31</v>
      </c>
      <c r="D120">
        <v>0</v>
      </c>
    </row>
    <row r="121" spans="1:4" x14ac:dyDescent="0.25">
      <c r="A121" t="s">
        <v>438</v>
      </c>
      <c r="B121" t="s">
        <v>423</v>
      </c>
      <c r="C121">
        <v>4067201.2300000004</v>
      </c>
      <c r="D121">
        <v>0</v>
      </c>
    </row>
    <row r="122" spans="1:4" x14ac:dyDescent="0.25">
      <c r="A122" t="s">
        <v>438</v>
      </c>
      <c r="B122" t="s">
        <v>436</v>
      </c>
      <c r="C122">
        <v>1538646.05</v>
      </c>
      <c r="D122">
        <v>0</v>
      </c>
    </row>
    <row r="123" spans="1:4" x14ac:dyDescent="0.25">
      <c r="A123" t="s">
        <v>438</v>
      </c>
      <c r="B123" t="s">
        <v>424</v>
      </c>
      <c r="C123">
        <v>12331635.26</v>
      </c>
      <c r="D123">
        <v>0</v>
      </c>
    </row>
    <row r="124" spans="1:4" x14ac:dyDescent="0.25">
      <c r="A124" t="s">
        <v>438</v>
      </c>
      <c r="B124" t="s">
        <v>153</v>
      </c>
      <c r="C124">
        <v>25967000.009999998</v>
      </c>
      <c r="D124">
        <v>0</v>
      </c>
    </row>
    <row r="125" spans="1:4" x14ac:dyDescent="0.25">
      <c r="A125" t="s">
        <v>438</v>
      </c>
      <c r="B125" t="s">
        <v>425</v>
      </c>
      <c r="C125">
        <v>493888.11</v>
      </c>
      <c r="D125">
        <v>0</v>
      </c>
    </row>
    <row r="126" spans="1:4" x14ac:dyDescent="0.25">
      <c r="A126" t="s">
        <v>438</v>
      </c>
      <c r="B126" t="s">
        <v>426</v>
      </c>
      <c r="C126">
        <v>3523595.41</v>
      </c>
      <c r="D126">
        <v>0</v>
      </c>
    </row>
    <row r="127" spans="1:4" x14ac:dyDescent="0.25">
      <c r="A127" t="s">
        <v>438</v>
      </c>
      <c r="B127" t="s">
        <v>427</v>
      </c>
      <c r="C127">
        <v>-1418987.4700000049</v>
      </c>
      <c r="D127">
        <v>0</v>
      </c>
    </row>
    <row r="128" spans="1:4" x14ac:dyDescent="0.25">
      <c r="A128" t="s">
        <v>439</v>
      </c>
      <c r="B128" t="s">
        <v>476</v>
      </c>
      <c r="C128">
        <v>9341658.0099999961</v>
      </c>
      <c r="D128">
        <v>0</v>
      </c>
    </row>
    <row r="129" spans="1:4" x14ac:dyDescent="0.25">
      <c r="A129" t="s">
        <v>439</v>
      </c>
      <c r="B129" t="s">
        <v>419</v>
      </c>
      <c r="C129">
        <v>722537.3</v>
      </c>
      <c r="D129">
        <v>0</v>
      </c>
    </row>
    <row r="130" spans="1:4" x14ac:dyDescent="0.25">
      <c r="A130" t="s">
        <v>439</v>
      </c>
      <c r="B130" t="s">
        <v>420</v>
      </c>
      <c r="C130">
        <v>0</v>
      </c>
      <c r="D130">
        <v>0</v>
      </c>
    </row>
    <row r="131" spans="1:4" x14ac:dyDescent="0.25">
      <c r="A131" t="s">
        <v>439</v>
      </c>
      <c r="B131" t="s">
        <v>421</v>
      </c>
      <c r="C131">
        <v>13202480.99</v>
      </c>
      <c r="D131">
        <v>0</v>
      </c>
    </row>
    <row r="132" spans="1:4" x14ac:dyDescent="0.25">
      <c r="A132" t="s">
        <v>439</v>
      </c>
      <c r="B132" t="s">
        <v>422</v>
      </c>
      <c r="C132">
        <v>2531875.2799999998</v>
      </c>
      <c r="D132">
        <v>0</v>
      </c>
    </row>
    <row r="133" spans="1:4" x14ac:dyDescent="0.25">
      <c r="A133" t="s">
        <v>439</v>
      </c>
      <c r="B133" t="s">
        <v>423</v>
      </c>
      <c r="C133">
        <v>4031288.0999999992</v>
      </c>
      <c r="D133">
        <v>0</v>
      </c>
    </row>
    <row r="134" spans="1:4" x14ac:dyDescent="0.25">
      <c r="A134" t="s">
        <v>439</v>
      </c>
      <c r="B134" t="s">
        <v>436</v>
      </c>
      <c r="C134">
        <v>1440879.23</v>
      </c>
      <c r="D134">
        <v>0</v>
      </c>
    </row>
    <row r="135" spans="1:4" x14ac:dyDescent="0.25">
      <c r="A135" t="s">
        <v>439</v>
      </c>
      <c r="B135" t="s">
        <v>424</v>
      </c>
      <c r="C135">
        <v>12297923.85</v>
      </c>
      <c r="D135">
        <v>0</v>
      </c>
    </row>
    <row r="136" spans="1:4" x14ac:dyDescent="0.25">
      <c r="A136" t="s">
        <v>439</v>
      </c>
      <c r="B136" t="s">
        <v>153</v>
      </c>
      <c r="C136">
        <v>5258788.5299999975</v>
      </c>
      <c r="D136">
        <v>0</v>
      </c>
    </row>
    <row r="137" spans="1:4" x14ac:dyDescent="0.25">
      <c r="A137" t="s">
        <v>439</v>
      </c>
      <c r="B137" t="s">
        <v>425</v>
      </c>
      <c r="C137">
        <v>472905.27999999997</v>
      </c>
      <c r="D137">
        <v>0</v>
      </c>
    </row>
    <row r="138" spans="1:4" x14ac:dyDescent="0.25">
      <c r="A138" t="s">
        <v>439</v>
      </c>
      <c r="B138" t="s">
        <v>426</v>
      </c>
      <c r="C138">
        <v>3448929.04</v>
      </c>
      <c r="D138">
        <v>0</v>
      </c>
    </row>
    <row r="139" spans="1:4" x14ac:dyDescent="0.25">
      <c r="A139" t="s">
        <v>439</v>
      </c>
      <c r="B139" t="s">
        <v>427</v>
      </c>
      <c r="C139">
        <v>-1821295.1900000009</v>
      </c>
      <c r="D139">
        <v>0</v>
      </c>
    </row>
    <row r="140" spans="1:4" x14ac:dyDescent="0.25">
      <c r="A140" t="s">
        <v>440</v>
      </c>
      <c r="B140" t="s">
        <v>476</v>
      </c>
      <c r="C140">
        <v>10374382.069999998</v>
      </c>
      <c r="D140">
        <v>0</v>
      </c>
    </row>
    <row r="141" spans="1:4" x14ac:dyDescent="0.25">
      <c r="A141" t="s">
        <v>440</v>
      </c>
      <c r="B141" t="s">
        <v>419</v>
      </c>
      <c r="C141">
        <v>1203129.7999999998</v>
      </c>
      <c r="D141">
        <v>0</v>
      </c>
    </row>
    <row r="142" spans="1:4" x14ac:dyDescent="0.25">
      <c r="A142" t="s">
        <v>440</v>
      </c>
      <c r="B142" t="s">
        <v>420</v>
      </c>
      <c r="C142">
        <v>0</v>
      </c>
      <c r="D142">
        <v>0</v>
      </c>
    </row>
    <row r="143" spans="1:4" x14ac:dyDescent="0.25">
      <c r="A143" t="s">
        <v>440</v>
      </c>
      <c r="B143" t="s">
        <v>421</v>
      </c>
      <c r="C143">
        <v>12865408.16</v>
      </c>
      <c r="D143">
        <v>0</v>
      </c>
    </row>
    <row r="144" spans="1:4" x14ac:dyDescent="0.25">
      <c r="A144" t="s">
        <v>440</v>
      </c>
      <c r="B144" t="s">
        <v>422</v>
      </c>
      <c r="C144">
        <v>2711542.78</v>
      </c>
      <c r="D144">
        <v>0</v>
      </c>
    </row>
    <row r="145" spans="1:4" x14ac:dyDescent="0.25">
      <c r="A145" t="s">
        <v>440</v>
      </c>
      <c r="B145" t="s">
        <v>423</v>
      </c>
      <c r="C145">
        <v>2395313.52</v>
      </c>
      <c r="D145">
        <v>0</v>
      </c>
    </row>
    <row r="146" spans="1:4" x14ac:dyDescent="0.25">
      <c r="A146" t="s">
        <v>440</v>
      </c>
      <c r="B146" t="s">
        <v>436</v>
      </c>
      <c r="C146">
        <v>1674912.26</v>
      </c>
      <c r="D146">
        <v>0</v>
      </c>
    </row>
    <row r="147" spans="1:4" x14ac:dyDescent="0.25">
      <c r="A147" t="s">
        <v>440</v>
      </c>
      <c r="B147" t="s">
        <v>424</v>
      </c>
      <c r="C147">
        <v>12006479.24</v>
      </c>
      <c r="D147">
        <v>0</v>
      </c>
    </row>
    <row r="148" spans="1:4" x14ac:dyDescent="0.25">
      <c r="A148" t="s">
        <v>440</v>
      </c>
      <c r="B148" t="s">
        <v>153</v>
      </c>
      <c r="C148">
        <v>3358429.34</v>
      </c>
      <c r="D148">
        <v>0</v>
      </c>
    </row>
    <row r="149" spans="1:4" x14ac:dyDescent="0.25">
      <c r="A149" t="s">
        <v>440</v>
      </c>
      <c r="B149" t="s">
        <v>425</v>
      </c>
      <c r="C149">
        <v>477587.49</v>
      </c>
      <c r="D149">
        <v>0</v>
      </c>
    </row>
    <row r="150" spans="1:4" x14ac:dyDescent="0.25">
      <c r="A150" t="s">
        <v>440</v>
      </c>
      <c r="B150" t="s">
        <v>426</v>
      </c>
      <c r="C150">
        <v>3416709.8400000003</v>
      </c>
      <c r="D150">
        <v>0</v>
      </c>
    </row>
    <row r="151" spans="1:4" x14ac:dyDescent="0.25">
      <c r="A151" t="s">
        <v>440</v>
      </c>
      <c r="B151" t="s">
        <v>427</v>
      </c>
      <c r="C151">
        <v>-1132697.8399999989</v>
      </c>
      <c r="D151">
        <v>0</v>
      </c>
    </row>
    <row r="152" spans="1:4" x14ac:dyDescent="0.25">
      <c r="A152" t="s">
        <v>441</v>
      </c>
      <c r="B152" t="s">
        <v>476</v>
      </c>
      <c r="C152">
        <v>10060492.030000001</v>
      </c>
      <c r="D152">
        <v>0</v>
      </c>
    </row>
    <row r="153" spans="1:4" x14ac:dyDescent="0.25">
      <c r="A153" t="s">
        <v>441</v>
      </c>
      <c r="B153" t="s">
        <v>419</v>
      </c>
      <c r="C153">
        <v>341943.12</v>
      </c>
      <c r="D153">
        <v>0</v>
      </c>
    </row>
    <row r="154" spans="1:4" x14ac:dyDescent="0.25">
      <c r="A154" t="s">
        <v>441</v>
      </c>
      <c r="B154" t="s">
        <v>420</v>
      </c>
      <c r="C154">
        <v>0</v>
      </c>
      <c r="D154">
        <v>0</v>
      </c>
    </row>
    <row r="155" spans="1:4" x14ac:dyDescent="0.25">
      <c r="A155" t="s">
        <v>441</v>
      </c>
      <c r="B155" t="s">
        <v>421</v>
      </c>
      <c r="C155">
        <v>13406301.450000001</v>
      </c>
      <c r="D155">
        <v>0</v>
      </c>
    </row>
    <row r="156" spans="1:4" x14ac:dyDescent="0.25">
      <c r="A156" t="s">
        <v>441</v>
      </c>
      <c r="B156" t="s">
        <v>422</v>
      </c>
      <c r="C156">
        <v>2694106.37</v>
      </c>
      <c r="D156">
        <v>0</v>
      </c>
    </row>
    <row r="157" spans="1:4" x14ac:dyDescent="0.25">
      <c r="A157" t="s">
        <v>441</v>
      </c>
      <c r="B157" t="s">
        <v>423</v>
      </c>
      <c r="C157">
        <v>4566311.9000000013</v>
      </c>
      <c r="D157">
        <v>0</v>
      </c>
    </row>
    <row r="158" spans="1:4" x14ac:dyDescent="0.25">
      <c r="A158" t="s">
        <v>441</v>
      </c>
      <c r="B158" t="s">
        <v>436</v>
      </c>
      <c r="C158">
        <v>1372138.55</v>
      </c>
      <c r="D158">
        <v>0</v>
      </c>
    </row>
    <row r="159" spans="1:4" x14ac:dyDescent="0.25">
      <c r="A159" t="s">
        <v>441</v>
      </c>
      <c r="B159" t="s">
        <v>424</v>
      </c>
      <c r="C159">
        <v>11242768.800000001</v>
      </c>
      <c r="D159">
        <v>0</v>
      </c>
    </row>
    <row r="160" spans="1:4" x14ac:dyDescent="0.25">
      <c r="A160" t="s">
        <v>441</v>
      </c>
      <c r="B160" t="s">
        <v>153</v>
      </c>
      <c r="C160">
        <v>4367407.21</v>
      </c>
      <c r="D160">
        <v>0</v>
      </c>
    </row>
    <row r="161" spans="1:4" x14ac:dyDescent="0.25">
      <c r="A161" t="s">
        <v>441</v>
      </c>
      <c r="B161" t="s">
        <v>425</v>
      </c>
      <c r="C161">
        <v>498067.55000000005</v>
      </c>
      <c r="D161">
        <v>0</v>
      </c>
    </row>
    <row r="162" spans="1:4" x14ac:dyDescent="0.25">
      <c r="A162" t="s">
        <v>441</v>
      </c>
      <c r="B162" t="s">
        <v>426</v>
      </c>
      <c r="C162">
        <v>3486747.88</v>
      </c>
      <c r="D162">
        <v>0</v>
      </c>
    </row>
    <row r="163" spans="1:4" x14ac:dyDescent="0.25">
      <c r="A163" t="s">
        <v>441</v>
      </c>
      <c r="B163" t="s">
        <v>427</v>
      </c>
      <c r="C163">
        <v>48470.199999975695</v>
      </c>
      <c r="D163">
        <v>0</v>
      </c>
    </row>
    <row r="164" spans="1:4" x14ac:dyDescent="0.25">
      <c r="A164" t="s">
        <v>442</v>
      </c>
      <c r="B164" t="s">
        <v>476</v>
      </c>
      <c r="C164">
        <v>9774709.959999999</v>
      </c>
      <c r="D164">
        <v>0</v>
      </c>
    </row>
    <row r="165" spans="1:4" x14ac:dyDescent="0.25">
      <c r="A165" t="s">
        <v>442</v>
      </c>
      <c r="B165" t="s">
        <v>419</v>
      </c>
      <c r="C165">
        <v>297913.53999999998</v>
      </c>
      <c r="D165">
        <v>0</v>
      </c>
    </row>
    <row r="166" spans="1:4" x14ac:dyDescent="0.25">
      <c r="A166" t="s">
        <v>442</v>
      </c>
      <c r="B166" t="s">
        <v>420</v>
      </c>
      <c r="C166">
        <v>0</v>
      </c>
      <c r="D166">
        <v>0</v>
      </c>
    </row>
    <row r="167" spans="1:4" x14ac:dyDescent="0.25">
      <c r="A167" t="s">
        <v>442</v>
      </c>
      <c r="B167" t="s">
        <v>421</v>
      </c>
      <c r="C167">
        <v>13210986.950000001</v>
      </c>
      <c r="D167">
        <v>0</v>
      </c>
    </row>
    <row r="168" spans="1:4" x14ac:dyDescent="0.25">
      <c r="A168" t="s">
        <v>442</v>
      </c>
      <c r="B168" t="s">
        <v>422</v>
      </c>
      <c r="C168">
        <v>2673573.1</v>
      </c>
      <c r="D168">
        <v>0</v>
      </c>
    </row>
    <row r="169" spans="1:4" x14ac:dyDescent="0.25">
      <c r="A169" t="s">
        <v>442</v>
      </c>
      <c r="B169" t="s">
        <v>423</v>
      </c>
      <c r="C169">
        <v>4551163.6900000004</v>
      </c>
      <c r="D169">
        <v>0</v>
      </c>
    </row>
    <row r="170" spans="1:4" x14ac:dyDescent="0.25">
      <c r="A170" t="s">
        <v>442</v>
      </c>
      <c r="B170" t="s">
        <v>436</v>
      </c>
      <c r="C170">
        <v>1423313.34</v>
      </c>
      <c r="D170">
        <v>0</v>
      </c>
    </row>
    <row r="171" spans="1:4" x14ac:dyDescent="0.25">
      <c r="A171" t="s">
        <v>442</v>
      </c>
      <c r="B171" t="s">
        <v>424</v>
      </c>
      <c r="C171">
        <v>11887711.91</v>
      </c>
      <c r="D171">
        <v>0</v>
      </c>
    </row>
    <row r="172" spans="1:4" x14ac:dyDescent="0.25">
      <c r="A172" t="s">
        <v>442</v>
      </c>
      <c r="B172" t="s">
        <v>153</v>
      </c>
      <c r="C172">
        <v>1753296.33</v>
      </c>
      <c r="D172">
        <v>0</v>
      </c>
    </row>
    <row r="173" spans="1:4" x14ac:dyDescent="0.25">
      <c r="A173" t="s">
        <v>442</v>
      </c>
      <c r="B173" t="s">
        <v>425</v>
      </c>
      <c r="C173">
        <v>484530.31</v>
      </c>
      <c r="D173">
        <v>0</v>
      </c>
    </row>
    <row r="174" spans="1:4" x14ac:dyDescent="0.25">
      <c r="A174" t="s">
        <v>442</v>
      </c>
      <c r="B174" t="s">
        <v>426</v>
      </c>
      <c r="C174">
        <v>3460877.4699999997</v>
      </c>
      <c r="D174">
        <v>0</v>
      </c>
    </row>
    <row r="175" spans="1:4" x14ac:dyDescent="0.25">
      <c r="A175" t="s">
        <v>442</v>
      </c>
      <c r="B175" t="s">
        <v>427</v>
      </c>
      <c r="C175">
        <v>-1270401.4899999981</v>
      </c>
      <c r="D175">
        <v>0</v>
      </c>
    </row>
    <row r="176" spans="1:4" x14ac:dyDescent="0.25">
      <c r="A176" t="s">
        <v>443</v>
      </c>
      <c r="B176" t="s">
        <v>476</v>
      </c>
      <c r="C176">
        <v>9881786.8100000024</v>
      </c>
      <c r="D176">
        <v>0</v>
      </c>
    </row>
    <row r="177" spans="1:4" x14ac:dyDescent="0.25">
      <c r="A177" t="s">
        <v>443</v>
      </c>
      <c r="B177" t="s">
        <v>419</v>
      </c>
      <c r="C177">
        <v>592625.21000000008</v>
      </c>
      <c r="D177">
        <v>0</v>
      </c>
    </row>
    <row r="178" spans="1:4" x14ac:dyDescent="0.25">
      <c r="A178" t="s">
        <v>443</v>
      </c>
      <c r="B178" t="s">
        <v>420</v>
      </c>
      <c r="C178">
        <v>0</v>
      </c>
      <c r="D178">
        <v>0</v>
      </c>
    </row>
    <row r="179" spans="1:4" x14ac:dyDescent="0.25">
      <c r="A179" t="s">
        <v>443</v>
      </c>
      <c r="B179" t="s">
        <v>421</v>
      </c>
      <c r="C179">
        <v>13265065.189999999</v>
      </c>
      <c r="D179">
        <v>0</v>
      </c>
    </row>
    <row r="180" spans="1:4" x14ac:dyDescent="0.25">
      <c r="A180" t="s">
        <v>443</v>
      </c>
      <c r="B180" t="s">
        <v>422</v>
      </c>
      <c r="C180">
        <v>2708873.8600000003</v>
      </c>
      <c r="D180">
        <v>0</v>
      </c>
    </row>
    <row r="181" spans="1:4" x14ac:dyDescent="0.25">
      <c r="A181" t="s">
        <v>443</v>
      </c>
      <c r="B181" t="s">
        <v>423</v>
      </c>
      <c r="C181">
        <v>3100134.77</v>
      </c>
      <c r="D181">
        <v>0</v>
      </c>
    </row>
    <row r="182" spans="1:4" x14ac:dyDescent="0.25">
      <c r="A182" t="s">
        <v>443</v>
      </c>
      <c r="B182" t="s">
        <v>436</v>
      </c>
      <c r="C182">
        <v>1468157.1600000001</v>
      </c>
      <c r="D182">
        <v>0</v>
      </c>
    </row>
    <row r="183" spans="1:4" x14ac:dyDescent="0.25">
      <c r="A183" t="s">
        <v>443</v>
      </c>
      <c r="B183" t="s">
        <v>424</v>
      </c>
      <c r="C183">
        <v>12037807.779999999</v>
      </c>
      <c r="D183">
        <v>0</v>
      </c>
    </row>
    <row r="184" spans="1:4" x14ac:dyDescent="0.25">
      <c r="A184" t="s">
        <v>443</v>
      </c>
      <c r="B184" t="s">
        <v>153</v>
      </c>
      <c r="C184">
        <v>2227234.86</v>
      </c>
      <c r="D184">
        <v>0</v>
      </c>
    </row>
    <row r="185" spans="1:4" x14ac:dyDescent="0.25">
      <c r="A185" t="s">
        <v>443</v>
      </c>
      <c r="B185" t="s">
        <v>425</v>
      </c>
      <c r="C185">
        <v>492503.72</v>
      </c>
      <c r="D185">
        <v>0</v>
      </c>
    </row>
    <row r="186" spans="1:4" x14ac:dyDescent="0.25">
      <c r="A186" t="s">
        <v>443</v>
      </c>
      <c r="B186" t="s">
        <v>426</v>
      </c>
      <c r="C186">
        <v>4112807.1199999992</v>
      </c>
      <c r="D186">
        <v>0</v>
      </c>
    </row>
    <row r="187" spans="1:4" x14ac:dyDescent="0.25">
      <c r="A187" t="s">
        <v>443</v>
      </c>
      <c r="B187" t="s">
        <v>427</v>
      </c>
      <c r="C187">
        <v>-1883103.7200000221</v>
      </c>
      <c r="D187">
        <v>0</v>
      </c>
    </row>
    <row r="188" spans="1:4" x14ac:dyDescent="0.25">
      <c r="A188" t="s">
        <v>444</v>
      </c>
      <c r="B188" t="s">
        <v>476</v>
      </c>
      <c r="C188">
        <v>10010664.909999998</v>
      </c>
      <c r="D188">
        <v>0</v>
      </c>
    </row>
    <row r="189" spans="1:4" x14ac:dyDescent="0.25">
      <c r="A189" t="s">
        <v>444</v>
      </c>
      <c r="B189" t="s">
        <v>419</v>
      </c>
      <c r="C189">
        <v>597059.85</v>
      </c>
      <c r="D189">
        <v>0</v>
      </c>
    </row>
    <row r="190" spans="1:4" x14ac:dyDescent="0.25">
      <c r="A190" t="s">
        <v>444</v>
      </c>
      <c r="B190" t="s">
        <v>420</v>
      </c>
      <c r="C190">
        <v>0</v>
      </c>
      <c r="D190">
        <v>0</v>
      </c>
    </row>
    <row r="191" spans="1:4" x14ac:dyDescent="0.25">
      <c r="A191" t="s">
        <v>444</v>
      </c>
      <c r="B191" t="s">
        <v>421</v>
      </c>
      <c r="C191">
        <v>12933799.380000001</v>
      </c>
      <c r="D191">
        <v>0</v>
      </c>
    </row>
    <row r="192" spans="1:4" x14ac:dyDescent="0.25">
      <c r="A192" t="s">
        <v>444</v>
      </c>
      <c r="B192" t="s">
        <v>422</v>
      </c>
      <c r="C192">
        <v>2284396.04</v>
      </c>
      <c r="D192">
        <v>0</v>
      </c>
    </row>
    <row r="193" spans="1:4" x14ac:dyDescent="0.25">
      <c r="A193" t="s">
        <v>444</v>
      </c>
      <c r="B193" t="s">
        <v>423</v>
      </c>
      <c r="C193">
        <v>6726461.1700000009</v>
      </c>
      <c r="D193">
        <v>0</v>
      </c>
    </row>
    <row r="194" spans="1:4" x14ac:dyDescent="0.25">
      <c r="A194" t="s">
        <v>444</v>
      </c>
      <c r="B194" t="s">
        <v>436</v>
      </c>
      <c r="C194">
        <v>1269480.26</v>
      </c>
      <c r="D194">
        <v>0</v>
      </c>
    </row>
    <row r="195" spans="1:4" x14ac:dyDescent="0.25">
      <c r="A195" t="s">
        <v>444</v>
      </c>
      <c r="B195" t="s">
        <v>424</v>
      </c>
      <c r="C195">
        <v>11627839.35</v>
      </c>
      <c r="D195">
        <v>0</v>
      </c>
    </row>
    <row r="196" spans="1:4" x14ac:dyDescent="0.25">
      <c r="A196" t="s">
        <v>444</v>
      </c>
      <c r="B196" t="s">
        <v>153</v>
      </c>
      <c r="C196" s="13">
        <v>944062.06</v>
      </c>
      <c r="D196">
        <v>0</v>
      </c>
    </row>
    <row r="197" spans="1:4" x14ac:dyDescent="0.25">
      <c r="A197" t="s">
        <v>444</v>
      </c>
      <c r="B197" t="s">
        <v>425</v>
      </c>
      <c r="C197" s="13">
        <v>529513.04</v>
      </c>
      <c r="D197">
        <v>0</v>
      </c>
    </row>
    <row r="198" spans="1:4" x14ac:dyDescent="0.25">
      <c r="A198" t="s">
        <v>444</v>
      </c>
      <c r="B198" t="s">
        <v>426</v>
      </c>
      <c r="C198" s="13">
        <v>3586403.05</v>
      </c>
      <c r="D198">
        <v>0</v>
      </c>
    </row>
    <row r="199" spans="1:4" x14ac:dyDescent="0.25">
      <c r="A199" t="s">
        <v>444</v>
      </c>
      <c r="B199" t="s">
        <v>427</v>
      </c>
      <c r="C199" s="13">
        <v>-6118893.4100000132</v>
      </c>
      <c r="D199">
        <v>0</v>
      </c>
    </row>
    <row r="200" spans="1:4" x14ac:dyDescent="0.25">
      <c r="A200" t="s">
        <v>445</v>
      </c>
      <c r="B200" t="s">
        <v>476</v>
      </c>
      <c r="C200" s="13">
        <v>10577540.52</v>
      </c>
      <c r="D200">
        <v>0</v>
      </c>
    </row>
    <row r="201" spans="1:4" x14ac:dyDescent="0.25">
      <c r="A201" t="s">
        <v>445</v>
      </c>
      <c r="B201" t="s">
        <v>419</v>
      </c>
      <c r="C201" s="13">
        <v>143449.37999999998</v>
      </c>
      <c r="D201">
        <v>0</v>
      </c>
    </row>
    <row r="202" spans="1:4" x14ac:dyDescent="0.25">
      <c r="A202" t="s">
        <v>445</v>
      </c>
      <c r="B202" t="s">
        <v>420</v>
      </c>
      <c r="C202" s="13">
        <v>0</v>
      </c>
      <c r="D202">
        <v>0</v>
      </c>
    </row>
    <row r="203" spans="1:4" x14ac:dyDescent="0.25">
      <c r="A203" t="s">
        <v>445</v>
      </c>
      <c r="B203" t="s">
        <v>421</v>
      </c>
      <c r="C203" s="13">
        <v>12018608.91</v>
      </c>
      <c r="D203">
        <v>0</v>
      </c>
    </row>
    <row r="204" spans="1:4" x14ac:dyDescent="0.25">
      <c r="A204" t="s">
        <v>445</v>
      </c>
      <c r="B204" t="s">
        <v>422</v>
      </c>
      <c r="C204">
        <v>2232979.62</v>
      </c>
      <c r="D204">
        <v>0</v>
      </c>
    </row>
    <row r="205" spans="1:4" x14ac:dyDescent="0.25">
      <c r="A205" t="s">
        <v>445</v>
      </c>
      <c r="B205" t="s">
        <v>423</v>
      </c>
      <c r="C205">
        <v>6516872.75</v>
      </c>
      <c r="D205">
        <v>0</v>
      </c>
    </row>
    <row r="206" spans="1:4" x14ac:dyDescent="0.25">
      <c r="A206" t="s">
        <v>445</v>
      </c>
      <c r="B206" t="s">
        <v>436</v>
      </c>
      <c r="C206">
        <v>1255106.02</v>
      </c>
      <c r="D206">
        <v>0</v>
      </c>
    </row>
    <row r="207" spans="1:4" x14ac:dyDescent="0.25">
      <c r="A207" t="s">
        <v>445</v>
      </c>
      <c r="B207" t="s">
        <v>424</v>
      </c>
      <c r="C207">
        <v>11396691.210000001</v>
      </c>
      <c r="D207">
        <v>0</v>
      </c>
    </row>
    <row r="208" spans="1:4" x14ac:dyDescent="0.25">
      <c r="A208" t="s">
        <v>445</v>
      </c>
      <c r="B208" t="s">
        <v>153</v>
      </c>
      <c r="C208">
        <v>506664.64</v>
      </c>
      <c r="D208">
        <v>0</v>
      </c>
    </row>
    <row r="209" spans="1:4" x14ac:dyDescent="0.25">
      <c r="A209" t="s">
        <v>445</v>
      </c>
      <c r="B209" t="s">
        <v>425</v>
      </c>
      <c r="C209">
        <v>478843.72</v>
      </c>
      <c r="D209">
        <v>0</v>
      </c>
    </row>
    <row r="210" spans="1:4" x14ac:dyDescent="0.25">
      <c r="A210" t="s">
        <v>445</v>
      </c>
      <c r="B210" t="s">
        <v>426</v>
      </c>
      <c r="C210">
        <v>3698602.29</v>
      </c>
      <c r="D210">
        <v>0</v>
      </c>
    </row>
    <row r="211" spans="1:4" x14ac:dyDescent="0.25">
      <c r="A211" t="s">
        <v>445</v>
      </c>
      <c r="B211" t="s">
        <v>427</v>
      </c>
      <c r="C211">
        <v>-5216710.53</v>
      </c>
      <c r="D211">
        <v>0</v>
      </c>
    </row>
    <row r="212" spans="1:4" x14ac:dyDescent="0.25">
      <c r="A212" t="s">
        <v>446</v>
      </c>
      <c r="B212" t="s">
        <v>476</v>
      </c>
      <c r="C212">
        <v>9691834.8300000001</v>
      </c>
      <c r="D212">
        <v>0</v>
      </c>
    </row>
    <row r="213" spans="1:4" x14ac:dyDescent="0.25">
      <c r="A213" t="s">
        <v>446</v>
      </c>
      <c r="B213" t="s">
        <v>419</v>
      </c>
      <c r="C213">
        <v>1595701.46</v>
      </c>
      <c r="D213">
        <v>0</v>
      </c>
    </row>
    <row r="214" spans="1:4" x14ac:dyDescent="0.25">
      <c r="A214" t="s">
        <v>446</v>
      </c>
      <c r="B214" t="s">
        <v>420</v>
      </c>
      <c r="C214">
        <v>0</v>
      </c>
      <c r="D214">
        <v>0</v>
      </c>
    </row>
    <row r="215" spans="1:4" x14ac:dyDescent="0.25">
      <c r="A215" t="s">
        <v>446</v>
      </c>
      <c r="B215" t="s">
        <v>421</v>
      </c>
      <c r="C215">
        <v>13300122.49</v>
      </c>
      <c r="D215">
        <v>0</v>
      </c>
    </row>
    <row r="216" spans="1:4" x14ac:dyDescent="0.25">
      <c r="A216" t="s">
        <v>446</v>
      </c>
      <c r="B216" t="s">
        <v>422</v>
      </c>
      <c r="C216">
        <v>2339553.96</v>
      </c>
      <c r="D216">
        <v>0</v>
      </c>
    </row>
    <row r="217" spans="1:4" x14ac:dyDescent="0.25">
      <c r="A217" t="s">
        <v>446</v>
      </c>
      <c r="B217" t="s">
        <v>423</v>
      </c>
      <c r="C217">
        <v>6076958.6999999993</v>
      </c>
      <c r="D217">
        <v>0</v>
      </c>
    </row>
    <row r="218" spans="1:4" x14ac:dyDescent="0.25">
      <c r="A218" t="s">
        <v>446</v>
      </c>
      <c r="B218" t="s">
        <v>436</v>
      </c>
      <c r="C218">
        <v>1569172.89</v>
      </c>
      <c r="D218">
        <v>0</v>
      </c>
    </row>
    <row r="219" spans="1:4" x14ac:dyDescent="0.25">
      <c r="A219" t="s">
        <v>446</v>
      </c>
      <c r="B219" t="s">
        <v>424</v>
      </c>
      <c r="C219">
        <v>12644723.83</v>
      </c>
      <c r="D219">
        <v>0</v>
      </c>
    </row>
    <row r="220" spans="1:4" x14ac:dyDescent="0.25">
      <c r="A220" t="s">
        <v>446</v>
      </c>
      <c r="B220" t="s">
        <v>153</v>
      </c>
      <c r="C220">
        <v>1485834.25</v>
      </c>
      <c r="D220">
        <v>0</v>
      </c>
    </row>
    <row r="221" spans="1:4" x14ac:dyDescent="0.25">
      <c r="A221" t="s">
        <v>446</v>
      </c>
      <c r="B221" t="s">
        <v>425</v>
      </c>
      <c r="C221">
        <v>517431.50000000006</v>
      </c>
      <c r="D221">
        <v>0</v>
      </c>
    </row>
    <row r="222" spans="1:4" x14ac:dyDescent="0.25">
      <c r="A222" t="s">
        <v>446</v>
      </c>
      <c r="B222" t="s">
        <v>426</v>
      </c>
      <c r="C222">
        <v>3607432.48</v>
      </c>
      <c r="D222">
        <v>0</v>
      </c>
    </row>
    <row r="223" spans="1:4" x14ac:dyDescent="0.25">
      <c r="A223" t="s">
        <v>446</v>
      </c>
      <c r="B223" t="s">
        <v>427</v>
      </c>
      <c r="C223">
        <v>-371828.73999999801</v>
      </c>
      <c r="D223">
        <v>0</v>
      </c>
    </row>
    <row r="224" spans="1:4" x14ac:dyDescent="0.25">
      <c r="A224" t="s">
        <v>447</v>
      </c>
      <c r="B224" t="s">
        <v>476</v>
      </c>
      <c r="C224">
        <v>10228635.02</v>
      </c>
      <c r="D224">
        <v>0</v>
      </c>
    </row>
    <row r="225" spans="1:4" x14ac:dyDescent="0.25">
      <c r="A225" t="s">
        <v>447</v>
      </c>
      <c r="B225" t="s">
        <v>419</v>
      </c>
      <c r="C225">
        <v>184769.18</v>
      </c>
      <c r="D225">
        <v>0</v>
      </c>
    </row>
    <row r="226" spans="1:4" x14ac:dyDescent="0.25">
      <c r="A226" t="s">
        <v>447</v>
      </c>
      <c r="B226" t="s">
        <v>420</v>
      </c>
      <c r="C226">
        <v>0</v>
      </c>
      <c r="D226">
        <v>0</v>
      </c>
    </row>
    <row r="227" spans="1:4" x14ac:dyDescent="0.25">
      <c r="A227" t="s">
        <v>447</v>
      </c>
      <c r="B227" t="s">
        <v>421</v>
      </c>
      <c r="C227">
        <v>12676508.220000001</v>
      </c>
      <c r="D227">
        <v>0</v>
      </c>
    </row>
    <row r="228" spans="1:4" x14ac:dyDescent="0.25">
      <c r="A228" t="s">
        <v>447</v>
      </c>
      <c r="B228" t="s">
        <v>422</v>
      </c>
      <c r="C228">
        <v>2257464.69</v>
      </c>
      <c r="D228">
        <v>0</v>
      </c>
    </row>
    <row r="229" spans="1:4" x14ac:dyDescent="0.25">
      <c r="A229" t="s">
        <v>447</v>
      </c>
      <c r="B229" t="s">
        <v>423</v>
      </c>
      <c r="C229">
        <v>3690578.9000000004</v>
      </c>
      <c r="D229">
        <v>0</v>
      </c>
    </row>
    <row r="230" spans="1:4" x14ac:dyDescent="0.25">
      <c r="A230" t="s">
        <v>447</v>
      </c>
      <c r="B230" t="s">
        <v>436</v>
      </c>
      <c r="C230">
        <v>606871.40000000014</v>
      </c>
      <c r="D230">
        <v>0</v>
      </c>
    </row>
    <row r="231" spans="1:4" x14ac:dyDescent="0.25">
      <c r="A231" t="s">
        <v>447</v>
      </c>
      <c r="B231" t="s">
        <v>424</v>
      </c>
      <c r="C231">
        <v>12235238.649999999</v>
      </c>
      <c r="D231">
        <v>0</v>
      </c>
    </row>
    <row r="232" spans="1:4" x14ac:dyDescent="0.25">
      <c r="A232" t="s">
        <v>447</v>
      </c>
      <c r="B232" t="s">
        <v>153</v>
      </c>
      <c r="C232">
        <v>5033604.72</v>
      </c>
      <c r="D232">
        <v>0</v>
      </c>
    </row>
    <row r="233" spans="1:4" x14ac:dyDescent="0.25">
      <c r="A233" t="s">
        <v>447</v>
      </c>
      <c r="B233" t="s">
        <v>425</v>
      </c>
      <c r="C233">
        <v>512717.47999999992</v>
      </c>
      <c r="D233">
        <v>0</v>
      </c>
    </row>
    <row r="234" spans="1:4" x14ac:dyDescent="0.25">
      <c r="A234" t="s">
        <v>447</v>
      </c>
      <c r="B234" t="s">
        <v>426</v>
      </c>
      <c r="C234">
        <v>3504821.78</v>
      </c>
      <c r="D234">
        <v>0</v>
      </c>
    </row>
    <row r="235" spans="1:4" x14ac:dyDescent="0.25">
      <c r="A235" t="s">
        <v>447</v>
      </c>
      <c r="B235" t="s">
        <v>427</v>
      </c>
      <c r="C235">
        <v>-2608101.8499999968</v>
      </c>
      <c r="D235">
        <v>0</v>
      </c>
    </row>
    <row r="236" spans="1:4" x14ac:dyDescent="0.25">
      <c r="A236" t="s">
        <v>448</v>
      </c>
      <c r="B236" t="s">
        <v>476</v>
      </c>
      <c r="C236">
        <v>10932463.1</v>
      </c>
      <c r="D236">
        <v>0</v>
      </c>
    </row>
    <row r="237" spans="1:4" x14ac:dyDescent="0.25">
      <c r="A237" t="s">
        <v>448</v>
      </c>
      <c r="B237" t="s">
        <v>419</v>
      </c>
      <c r="C237">
        <v>383548.38000000006</v>
      </c>
      <c r="D237">
        <v>0</v>
      </c>
    </row>
    <row r="238" spans="1:4" x14ac:dyDescent="0.25">
      <c r="A238" t="s">
        <v>448</v>
      </c>
      <c r="B238" t="s">
        <v>420</v>
      </c>
      <c r="C238">
        <v>0</v>
      </c>
      <c r="D238">
        <v>0</v>
      </c>
    </row>
    <row r="239" spans="1:4" x14ac:dyDescent="0.25">
      <c r="A239" t="s">
        <v>448</v>
      </c>
      <c r="B239" t="s">
        <v>421</v>
      </c>
      <c r="C239">
        <v>13531755.23</v>
      </c>
      <c r="D239">
        <v>0</v>
      </c>
    </row>
    <row r="240" spans="1:4" x14ac:dyDescent="0.25">
      <c r="A240" t="s">
        <v>448</v>
      </c>
      <c r="B240" t="s">
        <v>422</v>
      </c>
      <c r="C240">
        <v>2256452.79</v>
      </c>
      <c r="D240">
        <v>0</v>
      </c>
    </row>
    <row r="241" spans="1:4" x14ac:dyDescent="0.25">
      <c r="A241" t="s">
        <v>448</v>
      </c>
      <c r="B241" t="s">
        <v>423</v>
      </c>
      <c r="C241">
        <v>4910012.3400000008</v>
      </c>
      <c r="D241">
        <v>0</v>
      </c>
    </row>
    <row r="242" spans="1:4" x14ac:dyDescent="0.25">
      <c r="A242" t="s">
        <v>448</v>
      </c>
      <c r="B242" t="s">
        <v>436</v>
      </c>
      <c r="C242">
        <v>1594131.7100000002</v>
      </c>
      <c r="D242">
        <v>0</v>
      </c>
    </row>
    <row r="243" spans="1:4" x14ac:dyDescent="0.25">
      <c r="A243" t="s">
        <v>448</v>
      </c>
      <c r="B243" t="s">
        <v>424</v>
      </c>
      <c r="C243">
        <v>12718154.200000001</v>
      </c>
      <c r="D243">
        <v>0</v>
      </c>
    </row>
    <row r="244" spans="1:4" x14ac:dyDescent="0.25">
      <c r="A244" t="s">
        <v>448</v>
      </c>
      <c r="B244" t="s">
        <v>153</v>
      </c>
      <c r="C244">
        <v>3836674.63</v>
      </c>
      <c r="D244">
        <v>0</v>
      </c>
    </row>
    <row r="245" spans="1:4" x14ac:dyDescent="0.25">
      <c r="A245" t="s">
        <v>448</v>
      </c>
      <c r="B245" t="s">
        <v>425</v>
      </c>
      <c r="C245">
        <v>510425.38999999996</v>
      </c>
      <c r="D245">
        <v>0</v>
      </c>
    </row>
    <row r="246" spans="1:4" x14ac:dyDescent="0.25">
      <c r="A246" t="s">
        <v>448</v>
      </c>
      <c r="B246" t="s">
        <v>426</v>
      </c>
      <c r="C246">
        <v>3595410.97</v>
      </c>
      <c r="D246">
        <v>0</v>
      </c>
    </row>
    <row r="247" spans="1:4" x14ac:dyDescent="0.25">
      <c r="A247" t="s">
        <v>448</v>
      </c>
      <c r="B247" t="s">
        <v>427</v>
      </c>
      <c r="C247">
        <v>-1433596.139999985</v>
      </c>
      <c r="D247">
        <v>0</v>
      </c>
    </row>
    <row r="248" spans="1:4" x14ac:dyDescent="0.25">
      <c r="A248" t="s">
        <v>449</v>
      </c>
      <c r="B248" t="s">
        <v>476</v>
      </c>
      <c r="C248">
        <v>10497136.51</v>
      </c>
      <c r="D248">
        <v>0</v>
      </c>
    </row>
    <row r="249" spans="1:4" x14ac:dyDescent="0.25">
      <c r="A249" t="s">
        <v>449</v>
      </c>
      <c r="B249" t="s">
        <v>419</v>
      </c>
      <c r="C249">
        <v>424056.62</v>
      </c>
      <c r="D249">
        <v>0</v>
      </c>
    </row>
    <row r="250" spans="1:4" x14ac:dyDescent="0.25">
      <c r="A250" t="s">
        <v>449</v>
      </c>
      <c r="B250" t="s">
        <v>420</v>
      </c>
      <c r="C250">
        <v>0</v>
      </c>
      <c r="D250">
        <v>0</v>
      </c>
    </row>
    <row r="251" spans="1:4" x14ac:dyDescent="0.25">
      <c r="A251" t="s">
        <v>449</v>
      </c>
      <c r="B251" t="s">
        <v>421</v>
      </c>
      <c r="C251">
        <v>12646984.209999999</v>
      </c>
      <c r="D251">
        <v>0</v>
      </c>
    </row>
    <row r="252" spans="1:4" x14ac:dyDescent="0.25">
      <c r="A252" t="s">
        <v>449</v>
      </c>
      <c r="B252" t="s">
        <v>422</v>
      </c>
      <c r="C252">
        <v>2184900.33</v>
      </c>
      <c r="D252">
        <v>0</v>
      </c>
    </row>
    <row r="253" spans="1:4" x14ac:dyDescent="0.25">
      <c r="A253" t="s">
        <v>449</v>
      </c>
      <c r="B253" t="s">
        <v>423</v>
      </c>
      <c r="C253">
        <v>4555449.38</v>
      </c>
      <c r="D253">
        <v>0</v>
      </c>
    </row>
    <row r="254" spans="1:4" x14ac:dyDescent="0.25">
      <c r="A254" t="s">
        <v>449</v>
      </c>
      <c r="B254" t="s">
        <v>436</v>
      </c>
      <c r="C254">
        <v>1219508.76</v>
      </c>
      <c r="D254">
        <v>0</v>
      </c>
    </row>
    <row r="255" spans="1:4" x14ac:dyDescent="0.25">
      <c r="A255" t="s">
        <v>449</v>
      </c>
      <c r="B255" t="s">
        <v>424</v>
      </c>
      <c r="C255">
        <v>12128351.34</v>
      </c>
      <c r="D255">
        <v>0</v>
      </c>
    </row>
    <row r="256" spans="1:4" x14ac:dyDescent="0.25">
      <c r="A256" t="s">
        <v>449</v>
      </c>
      <c r="B256" t="s">
        <v>153</v>
      </c>
      <c r="C256">
        <v>1573729.94</v>
      </c>
      <c r="D256">
        <v>0</v>
      </c>
    </row>
    <row r="257" spans="1:4" x14ac:dyDescent="0.25">
      <c r="A257" t="s">
        <v>449</v>
      </c>
      <c r="B257" t="s">
        <v>425</v>
      </c>
      <c r="C257">
        <v>518624.15000000008</v>
      </c>
      <c r="D257">
        <v>0</v>
      </c>
    </row>
    <row r="258" spans="1:4" x14ac:dyDescent="0.25">
      <c r="A258" t="s">
        <v>449</v>
      </c>
      <c r="B258" t="s">
        <v>426</v>
      </c>
      <c r="C258">
        <v>3482221.8</v>
      </c>
      <c r="D258">
        <v>0</v>
      </c>
    </row>
    <row r="259" spans="1:4" x14ac:dyDescent="0.25">
      <c r="A259" t="s">
        <v>449</v>
      </c>
      <c r="B259" t="s">
        <v>427</v>
      </c>
      <c r="C259">
        <v>-3475496.0800000057</v>
      </c>
      <c r="D259">
        <v>0</v>
      </c>
    </row>
    <row r="260" spans="1:4" x14ac:dyDescent="0.25">
      <c r="A260" t="s">
        <v>450</v>
      </c>
      <c r="B260" t="s">
        <v>476</v>
      </c>
      <c r="C260">
        <v>10660107.549999999</v>
      </c>
      <c r="D260">
        <v>0</v>
      </c>
    </row>
    <row r="261" spans="1:4" x14ac:dyDescent="0.25">
      <c r="A261" t="s">
        <v>450</v>
      </c>
      <c r="B261" t="s">
        <v>419</v>
      </c>
      <c r="C261">
        <v>133363.24</v>
      </c>
      <c r="D261">
        <v>0</v>
      </c>
    </row>
    <row r="262" spans="1:4" x14ac:dyDescent="0.25">
      <c r="A262" t="s">
        <v>450</v>
      </c>
      <c r="B262" t="s">
        <v>420</v>
      </c>
      <c r="C262">
        <v>0</v>
      </c>
      <c r="D262">
        <v>0</v>
      </c>
    </row>
    <row r="263" spans="1:4" x14ac:dyDescent="0.25">
      <c r="A263" t="s">
        <v>450</v>
      </c>
      <c r="B263" t="s">
        <v>421</v>
      </c>
      <c r="C263">
        <v>13650559.530000001</v>
      </c>
      <c r="D263">
        <v>0</v>
      </c>
    </row>
    <row r="264" spans="1:4" x14ac:dyDescent="0.25">
      <c r="A264" t="s">
        <v>450</v>
      </c>
      <c r="B264" t="s">
        <v>422</v>
      </c>
      <c r="C264">
        <v>3317264.31</v>
      </c>
      <c r="D264">
        <v>0</v>
      </c>
    </row>
    <row r="265" spans="1:4" x14ac:dyDescent="0.25">
      <c r="A265" t="s">
        <v>450</v>
      </c>
      <c r="B265" t="s">
        <v>423</v>
      </c>
      <c r="C265">
        <v>4067201.2300000004</v>
      </c>
      <c r="D265">
        <v>0</v>
      </c>
    </row>
    <row r="266" spans="1:4" x14ac:dyDescent="0.25">
      <c r="A266" t="s">
        <v>450</v>
      </c>
      <c r="B266" t="s">
        <v>436</v>
      </c>
      <c r="C266">
        <v>1538646.05</v>
      </c>
      <c r="D266">
        <v>0</v>
      </c>
    </row>
    <row r="267" spans="1:4" x14ac:dyDescent="0.25">
      <c r="A267" t="s">
        <v>450</v>
      </c>
      <c r="B267" t="s">
        <v>424</v>
      </c>
      <c r="C267">
        <v>12331635.26</v>
      </c>
      <c r="D267">
        <v>0</v>
      </c>
    </row>
    <row r="268" spans="1:4" x14ac:dyDescent="0.25">
      <c r="A268" t="s">
        <v>450</v>
      </c>
      <c r="B268" t="s">
        <v>153</v>
      </c>
      <c r="C268">
        <v>25967000.009999998</v>
      </c>
      <c r="D268">
        <v>0</v>
      </c>
    </row>
    <row r="269" spans="1:4" x14ac:dyDescent="0.25">
      <c r="A269" t="s">
        <v>450</v>
      </c>
      <c r="B269" t="s">
        <v>425</v>
      </c>
      <c r="C269">
        <v>493888.11</v>
      </c>
      <c r="D269">
        <v>0</v>
      </c>
    </row>
    <row r="270" spans="1:4" x14ac:dyDescent="0.25">
      <c r="A270" t="s">
        <v>450</v>
      </c>
      <c r="B270" t="s">
        <v>426</v>
      </c>
      <c r="C270">
        <v>3523595.41</v>
      </c>
      <c r="D270">
        <v>0</v>
      </c>
    </row>
    <row r="271" spans="1:4" x14ac:dyDescent="0.25">
      <c r="A271" t="s">
        <v>450</v>
      </c>
      <c r="B271" t="s">
        <v>427</v>
      </c>
      <c r="C271">
        <v>-1552350.7099999988</v>
      </c>
      <c r="D271">
        <v>0</v>
      </c>
    </row>
    <row r="272" spans="1:4" x14ac:dyDescent="0.25">
      <c r="A272" t="s">
        <v>451</v>
      </c>
      <c r="B272" t="s">
        <v>476</v>
      </c>
      <c r="C272">
        <v>10064195.310000001</v>
      </c>
      <c r="D272">
        <v>0</v>
      </c>
    </row>
    <row r="273" spans="1:4" x14ac:dyDescent="0.25">
      <c r="A273" t="s">
        <v>451</v>
      </c>
      <c r="B273" t="s">
        <v>419</v>
      </c>
      <c r="C273">
        <v>722537.3</v>
      </c>
      <c r="D273">
        <v>0</v>
      </c>
    </row>
    <row r="274" spans="1:4" x14ac:dyDescent="0.25">
      <c r="A274" t="s">
        <v>451</v>
      </c>
      <c r="B274" t="s">
        <v>420</v>
      </c>
      <c r="C274">
        <v>0</v>
      </c>
      <c r="D274">
        <v>0</v>
      </c>
    </row>
    <row r="275" spans="1:4" x14ac:dyDescent="0.25">
      <c r="A275" t="s">
        <v>451</v>
      </c>
      <c r="B275" t="s">
        <v>421</v>
      </c>
      <c r="C275">
        <v>13202480.99</v>
      </c>
      <c r="D275">
        <v>0</v>
      </c>
    </row>
    <row r="276" spans="1:4" x14ac:dyDescent="0.25">
      <c r="A276" t="s">
        <v>451</v>
      </c>
      <c r="B276" t="s">
        <v>422</v>
      </c>
      <c r="C276">
        <v>2531875.2799999998</v>
      </c>
      <c r="D276">
        <v>0</v>
      </c>
    </row>
    <row r="277" spans="1:4" x14ac:dyDescent="0.25">
      <c r="A277" t="s">
        <v>451</v>
      </c>
      <c r="B277" t="s">
        <v>423</v>
      </c>
      <c r="C277">
        <v>4031288.0999999992</v>
      </c>
      <c r="D277">
        <v>0</v>
      </c>
    </row>
    <row r="278" spans="1:4" x14ac:dyDescent="0.25">
      <c r="A278" t="s">
        <v>451</v>
      </c>
      <c r="B278" t="s">
        <v>436</v>
      </c>
      <c r="C278">
        <v>1440879.23</v>
      </c>
      <c r="D278">
        <v>0</v>
      </c>
    </row>
    <row r="279" spans="1:4" x14ac:dyDescent="0.25">
      <c r="A279" t="s">
        <v>451</v>
      </c>
      <c r="B279" t="s">
        <v>424</v>
      </c>
      <c r="C279">
        <v>12297923.85</v>
      </c>
      <c r="D279">
        <v>0</v>
      </c>
    </row>
    <row r="280" spans="1:4" x14ac:dyDescent="0.25">
      <c r="A280" t="s">
        <v>451</v>
      </c>
      <c r="B280" t="s">
        <v>153</v>
      </c>
      <c r="C280">
        <v>5258788.5299999975</v>
      </c>
      <c r="D280">
        <v>0</v>
      </c>
    </row>
    <row r="281" spans="1:4" x14ac:dyDescent="0.25">
      <c r="A281" t="s">
        <v>451</v>
      </c>
      <c r="B281" t="s">
        <v>425</v>
      </c>
      <c r="C281">
        <v>472905.27999999997</v>
      </c>
      <c r="D281">
        <v>0</v>
      </c>
    </row>
    <row r="282" spans="1:4" x14ac:dyDescent="0.25">
      <c r="A282" t="s">
        <v>451</v>
      </c>
      <c r="B282" t="s">
        <v>426</v>
      </c>
      <c r="C282">
        <v>3448929.04</v>
      </c>
      <c r="D282">
        <v>0</v>
      </c>
    </row>
    <row r="283" spans="1:4" x14ac:dyDescent="0.25">
      <c r="A283" t="s">
        <v>451</v>
      </c>
      <c r="B283" t="s">
        <v>427</v>
      </c>
      <c r="C283">
        <v>-2543832.4900000067</v>
      </c>
      <c r="D283">
        <v>0</v>
      </c>
    </row>
    <row r="284" spans="1:4" x14ac:dyDescent="0.25">
      <c r="A284" t="s">
        <v>452</v>
      </c>
      <c r="B284" t="s">
        <v>476</v>
      </c>
      <c r="C284">
        <v>11577511.870000001</v>
      </c>
      <c r="D284">
        <v>0</v>
      </c>
    </row>
    <row r="285" spans="1:4" x14ac:dyDescent="0.25">
      <c r="A285" t="s">
        <v>452</v>
      </c>
      <c r="B285" t="s">
        <v>419</v>
      </c>
      <c r="C285">
        <v>1203129.7999999998</v>
      </c>
      <c r="D285">
        <v>0</v>
      </c>
    </row>
    <row r="286" spans="1:4" x14ac:dyDescent="0.25">
      <c r="A286" t="s">
        <v>452</v>
      </c>
      <c r="B286" t="s">
        <v>420</v>
      </c>
      <c r="C286">
        <v>0</v>
      </c>
      <c r="D286">
        <v>0</v>
      </c>
    </row>
    <row r="287" spans="1:4" x14ac:dyDescent="0.25">
      <c r="A287" t="s">
        <v>452</v>
      </c>
      <c r="B287" t="s">
        <v>421</v>
      </c>
      <c r="C287">
        <v>12865408.16</v>
      </c>
      <c r="D287">
        <v>0</v>
      </c>
    </row>
    <row r="288" spans="1:4" x14ac:dyDescent="0.25">
      <c r="A288" t="s">
        <v>452</v>
      </c>
      <c r="B288" t="s">
        <v>422</v>
      </c>
      <c r="C288">
        <v>2711542.78</v>
      </c>
      <c r="D288">
        <v>0</v>
      </c>
    </row>
    <row r="289" spans="1:4" x14ac:dyDescent="0.25">
      <c r="A289" t="s">
        <v>452</v>
      </c>
      <c r="B289" t="s">
        <v>423</v>
      </c>
      <c r="C289">
        <v>2395313.52</v>
      </c>
      <c r="D289">
        <v>0</v>
      </c>
    </row>
    <row r="290" spans="1:4" x14ac:dyDescent="0.25">
      <c r="A290" t="s">
        <v>452</v>
      </c>
      <c r="B290" t="s">
        <v>436</v>
      </c>
      <c r="C290">
        <v>1674912.26</v>
      </c>
      <c r="D290">
        <v>0</v>
      </c>
    </row>
    <row r="291" spans="1:4" x14ac:dyDescent="0.25">
      <c r="A291" t="s">
        <v>452</v>
      </c>
      <c r="B291" t="s">
        <v>424</v>
      </c>
      <c r="C291">
        <v>12006479.24</v>
      </c>
      <c r="D291">
        <v>0</v>
      </c>
    </row>
    <row r="292" spans="1:4" x14ac:dyDescent="0.25">
      <c r="A292" t="s">
        <v>452</v>
      </c>
      <c r="B292" t="s">
        <v>153</v>
      </c>
      <c r="C292">
        <v>3358429.34</v>
      </c>
      <c r="D292">
        <v>0</v>
      </c>
    </row>
    <row r="293" spans="1:4" x14ac:dyDescent="0.25">
      <c r="A293" t="s">
        <v>452</v>
      </c>
      <c r="B293" t="s">
        <v>425</v>
      </c>
      <c r="C293">
        <v>477587.49</v>
      </c>
      <c r="D293">
        <v>0</v>
      </c>
    </row>
    <row r="294" spans="1:4" x14ac:dyDescent="0.25">
      <c r="A294" t="s">
        <v>452</v>
      </c>
      <c r="B294" t="s">
        <v>426</v>
      </c>
      <c r="C294">
        <v>3416709.8400000003</v>
      </c>
      <c r="D294">
        <v>0</v>
      </c>
    </row>
    <row r="295" spans="1:4" x14ac:dyDescent="0.25">
      <c r="A295" t="s">
        <v>452</v>
      </c>
      <c r="B295" t="s">
        <v>427</v>
      </c>
      <c r="C295">
        <v>-2335827.6399999978</v>
      </c>
      <c r="D295">
        <v>0</v>
      </c>
    </row>
    <row r="296" spans="1:4" x14ac:dyDescent="0.25">
      <c r="A296" t="s">
        <v>453</v>
      </c>
      <c r="B296" t="s">
        <v>476</v>
      </c>
      <c r="C296">
        <v>10402435.15</v>
      </c>
      <c r="D296">
        <v>0</v>
      </c>
    </row>
    <row r="297" spans="1:4" x14ac:dyDescent="0.25">
      <c r="A297" t="s">
        <v>453</v>
      </c>
      <c r="B297" t="s">
        <v>419</v>
      </c>
      <c r="C297">
        <v>341943.12</v>
      </c>
      <c r="D297">
        <v>0</v>
      </c>
    </row>
    <row r="298" spans="1:4" x14ac:dyDescent="0.25">
      <c r="A298" t="s">
        <v>453</v>
      </c>
      <c r="B298" t="s">
        <v>420</v>
      </c>
      <c r="C298">
        <v>0</v>
      </c>
      <c r="D298">
        <v>0</v>
      </c>
    </row>
    <row r="299" spans="1:4" x14ac:dyDescent="0.25">
      <c r="A299" t="s">
        <v>453</v>
      </c>
      <c r="B299" t="s">
        <v>421</v>
      </c>
      <c r="C299">
        <v>13406301.450000001</v>
      </c>
      <c r="D299">
        <v>0</v>
      </c>
    </row>
    <row r="300" spans="1:4" x14ac:dyDescent="0.25">
      <c r="A300" t="s">
        <v>453</v>
      </c>
      <c r="B300" t="s">
        <v>422</v>
      </c>
      <c r="C300">
        <v>2694106.37</v>
      </c>
      <c r="D300">
        <v>0</v>
      </c>
    </row>
    <row r="301" spans="1:4" x14ac:dyDescent="0.25">
      <c r="A301" t="s">
        <v>453</v>
      </c>
      <c r="B301" t="s">
        <v>423</v>
      </c>
      <c r="C301">
        <v>4566311.9000000013</v>
      </c>
      <c r="D301">
        <v>0</v>
      </c>
    </row>
    <row r="302" spans="1:4" x14ac:dyDescent="0.25">
      <c r="A302" t="s">
        <v>453</v>
      </c>
      <c r="B302" t="s">
        <v>436</v>
      </c>
      <c r="C302">
        <v>1372138.55</v>
      </c>
      <c r="D302">
        <v>0</v>
      </c>
    </row>
    <row r="303" spans="1:4" x14ac:dyDescent="0.25">
      <c r="A303" t="s">
        <v>453</v>
      </c>
      <c r="B303" t="s">
        <v>424</v>
      </c>
      <c r="C303">
        <v>11242768.800000001</v>
      </c>
      <c r="D303">
        <v>0</v>
      </c>
    </row>
    <row r="304" spans="1:4" x14ac:dyDescent="0.25">
      <c r="A304" t="s">
        <v>453</v>
      </c>
      <c r="B304" t="s">
        <v>153</v>
      </c>
      <c r="C304">
        <v>4367407.21</v>
      </c>
      <c r="D304">
        <v>0</v>
      </c>
    </row>
    <row r="305" spans="1:4" x14ac:dyDescent="0.25">
      <c r="A305" t="s">
        <v>453</v>
      </c>
      <c r="B305" t="s">
        <v>425</v>
      </c>
      <c r="C305">
        <v>498067.55000000005</v>
      </c>
      <c r="D305">
        <v>0</v>
      </c>
    </row>
    <row r="306" spans="1:4" x14ac:dyDescent="0.25">
      <c r="A306" t="s">
        <v>453</v>
      </c>
      <c r="B306" t="s">
        <v>426</v>
      </c>
      <c r="C306">
        <v>3486747.88</v>
      </c>
      <c r="D306">
        <v>0</v>
      </c>
    </row>
    <row r="307" spans="1:4" x14ac:dyDescent="0.25">
      <c r="A307" t="s">
        <v>453</v>
      </c>
      <c r="B307" t="s">
        <v>427</v>
      </c>
      <c r="C307">
        <v>-293472.92000002065</v>
      </c>
      <c r="D307">
        <v>0</v>
      </c>
    </row>
    <row r="308" spans="1:4" x14ac:dyDescent="0.25">
      <c r="A308" t="s">
        <v>454</v>
      </c>
      <c r="B308" t="s">
        <v>476</v>
      </c>
      <c r="C308">
        <v>10072623.5</v>
      </c>
      <c r="D308">
        <v>0</v>
      </c>
    </row>
    <row r="309" spans="1:4" x14ac:dyDescent="0.25">
      <c r="A309" t="s">
        <v>454</v>
      </c>
      <c r="B309" t="s">
        <v>419</v>
      </c>
      <c r="C309">
        <v>297913.53999999998</v>
      </c>
      <c r="D309">
        <v>0</v>
      </c>
    </row>
    <row r="310" spans="1:4" x14ac:dyDescent="0.25">
      <c r="A310" t="s">
        <v>454</v>
      </c>
      <c r="B310" t="s">
        <v>420</v>
      </c>
      <c r="C310">
        <v>0</v>
      </c>
      <c r="D310">
        <v>0</v>
      </c>
    </row>
    <row r="311" spans="1:4" x14ac:dyDescent="0.25">
      <c r="A311" t="s">
        <v>454</v>
      </c>
      <c r="B311" t="s">
        <v>421</v>
      </c>
      <c r="C311">
        <v>13210986.950000001</v>
      </c>
      <c r="D311">
        <v>0</v>
      </c>
    </row>
    <row r="312" spans="1:4" x14ac:dyDescent="0.25">
      <c r="A312" t="s">
        <v>454</v>
      </c>
      <c r="B312" t="s">
        <v>422</v>
      </c>
      <c r="C312">
        <v>2673573.1</v>
      </c>
      <c r="D312">
        <v>0</v>
      </c>
    </row>
    <row r="313" spans="1:4" x14ac:dyDescent="0.25">
      <c r="A313" t="s">
        <v>454</v>
      </c>
      <c r="B313" t="s">
        <v>423</v>
      </c>
      <c r="C313">
        <v>4551163.6900000004</v>
      </c>
      <c r="D313">
        <v>0</v>
      </c>
    </row>
    <row r="314" spans="1:4" x14ac:dyDescent="0.25">
      <c r="A314" t="s">
        <v>454</v>
      </c>
      <c r="B314" t="s">
        <v>436</v>
      </c>
      <c r="C314">
        <v>1423313.34</v>
      </c>
      <c r="D314">
        <v>0</v>
      </c>
    </row>
    <row r="315" spans="1:4" x14ac:dyDescent="0.25">
      <c r="A315" t="s">
        <v>454</v>
      </c>
      <c r="B315" t="s">
        <v>424</v>
      </c>
      <c r="C315">
        <v>11887711.91</v>
      </c>
      <c r="D315">
        <v>0</v>
      </c>
    </row>
    <row r="316" spans="1:4" x14ac:dyDescent="0.25">
      <c r="A316" t="s">
        <v>454</v>
      </c>
      <c r="B316" t="s">
        <v>153</v>
      </c>
      <c r="C316">
        <v>1753296.33</v>
      </c>
      <c r="D316">
        <v>0</v>
      </c>
    </row>
    <row r="317" spans="1:4" x14ac:dyDescent="0.25">
      <c r="A317" t="s">
        <v>454</v>
      </c>
      <c r="B317" t="s">
        <v>425</v>
      </c>
      <c r="C317">
        <v>484530.31</v>
      </c>
      <c r="D317">
        <v>0</v>
      </c>
    </row>
    <row r="318" spans="1:4" x14ac:dyDescent="0.25">
      <c r="A318" t="s">
        <v>454</v>
      </c>
      <c r="B318" t="s">
        <v>426</v>
      </c>
      <c r="C318">
        <v>3460877.4699999997</v>
      </c>
      <c r="D318">
        <v>0</v>
      </c>
    </row>
    <row r="319" spans="1:4" x14ac:dyDescent="0.25">
      <c r="A319" t="s">
        <v>454</v>
      </c>
      <c r="B319" t="s">
        <v>427</v>
      </c>
      <c r="C319">
        <v>-1568315.030000001</v>
      </c>
      <c r="D319">
        <v>0</v>
      </c>
    </row>
    <row r="320" spans="1:4" x14ac:dyDescent="0.25">
      <c r="A320" t="s">
        <v>455</v>
      </c>
      <c r="B320" t="s">
        <v>476</v>
      </c>
      <c r="C320">
        <v>10474412.020000001</v>
      </c>
      <c r="D320">
        <v>0</v>
      </c>
    </row>
    <row r="321" spans="1:4" x14ac:dyDescent="0.25">
      <c r="A321" t="s">
        <v>455</v>
      </c>
      <c r="B321" t="s">
        <v>419</v>
      </c>
      <c r="C321">
        <v>592625.21000000008</v>
      </c>
      <c r="D321">
        <v>0</v>
      </c>
    </row>
    <row r="322" spans="1:4" x14ac:dyDescent="0.25">
      <c r="A322" t="s">
        <v>455</v>
      </c>
      <c r="B322" t="s">
        <v>420</v>
      </c>
      <c r="C322">
        <v>0</v>
      </c>
      <c r="D322">
        <v>0</v>
      </c>
    </row>
    <row r="323" spans="1:4" x14ac:dyDescent="0.25">
      <c r="A323" t="s">
        <v>455</v>
      </c>
      <c r="B323" t="s">
        <v>421</v>
      </c>
      <c r="C323">
        <v>13265065.189999999</v>
      </c>
      <c r="D323">
        <v>0</v>
      </c>
    </row>
    <row r="324" spans="1:4" x14ac:dyDescent="0.25">
      <c r="A324" t="s">
        <v>455</v>
      </c>
      <c r="B324" t="s">
        <v>422</v>
      </c>
      <c r="C324">
        <v>2708873.8600000003</v>
      </c>
      <c r="D324">
        <v>0</v>
      </c>
    </row>
    <row r="325" spans="1:4" x14ac:dyDescent="0.25">
      <c r="A325" t="s">
        <v>455</v>
      </c>
      <c r="B325" t="s">
        <v>423</v>
      </c>
      <c r="C325">
        <v>3100134.77</v>
      </c>
      <c r="D325">
        <v>0</v>
      </c>
    </row>
    <row r="326" spans="1:4" x14ac:dyDescent="0.25">
      <c r="A326" t="s">
        <v>455</v>
      </c>
      <c r="B326" t="s">
        <v>436</v>
      </c>
      <c r="C326">
        <v>1468157.1600000001</v>
      </c>
      <c r="D326">
        <v>0</v>
      </c>
    </row>
    <row r="327" spans="1:4" x14ac:dyDescent="0.25">
      <c r="A327" t="s">
        <v>455</v>
      </c>
      <c r="B327" t="s">
        <v>424</v>
      </c>
      <c r="C327">
        <v>12037807.779999999</v>
      </c>
      <c r="D327">
        <v>0</v>
      </c>
    </row>
    <row r="328" spans="1:4" x14ac:dyDescent="0.25">
      <c r="A328" t="s">
        <v>455</v>
      </c>
      <c r="B328" t="s">
        <v>153</v>
      </c>
      <c r="C328">
        <v>2227234.86</v>
      </c>
      <c r="D328">
        <v>0</v>
      </c>
    </row>
    <row r="329" spans="1:4" x14ac:dyDescent="0.25">
      <c r="A329" t="s">
        <v>455</v>
      </c>
      <c r="B329" t="s">
        <v>425</v>
      </c>
      <c r="C329">
        <v>492503.72</v>
      </c>
      <c r="D329">
        <v>0</v>
      </c>
    </row>
    <row r="330" spans="1:4" x14ac:dyDescent="0.25">
      <c r="A330" t="s">
        <v>455</v>
      </c>
      <c r="B330" t="s">
        <v>426</v>
      </c>
      <c r="C330">
        <v>4112807.1199999992</v>
      </c>
      <c r="D330">
        <v>0</v>
      </c>
    </row>
    <row r="331" spans="1:4" x14ac:dyDescent="0.25">
      <c r="A331" t="s">
        <v>455</v>
      </c>
      <c r="B331" t="s">
        <v>427</v>
      </c>
      <c r="C331">
        <v>-2475728.9300000169</v>
      </c>
      <c r="D331">
        <v>0</v>
      </c>
    </row>
    <row r="332" spans="1:4" x14ac:dyDescent="0.25">
      <c r="A332" t="s">
        <v>456</v>
      </c>
      <c r="B332" t="s">
        <v>476</v>
      </c>
      <c r="C332">
        <v>10291251.609999999</v>
      </c>
      <c r="D332">
        <v>0</v>
      </c>
    </row>
    <row r="333" spans="1:4" x14ac:dyDescent="0.25">
      <c r="A333" t="s">
        <v>456</v>
      </c>
      <c r="B333" t="s">
        <v>419</v>
      </c>
      <c r="C333">
        <v>252660.30000000002</v>
      </c>
      <c r="D333">
        <v>0</v>
      </c>
    </row>
    <row r="334" spans="1:4" x14ac:dyDescent="0.25">
      <c r="A334" t="s">
        <v>456</v>
      </c>
      <c r="B334" t="s">
        <v>420</v>
      </c>
      <c r="C334">
        <v>0</v>
      </c>
      <c r="D334">
        <v>0</v>
      </c>
    </row>
    <row r="335" spans="1:4" x14ac:dyDescent="0.25">
      <c r="A335" t="s">
        <v>456</v>
      </c>
      <c r="B335" t="s">
        <v>421</v>
      </c>
      <c r="C335">
        <v>13154538.16</v>
      </c>
      <c r="D335">
        <v>0</v>
      </c>
    </row>
    <row r="336" spans="1:4" x14ac:dyDescent="0.25">
      <c r="A336" t="s">
        <v>456</v>
      </c>
      <c r="B336" t="s">
        <v>422</v>
      </c>
      <c r="C336">
        <v>2671826.0499999998</v>
      </c>
      <c r="D336">
        <v>0</v>
      </c>
    </row>
    <row r="337" spans="1:4" x14ac:dyDescent="0.25">
      <c r="A337" t="s">
        <v>456</v>
      </c>
      <c r="B337" t="s">
        <v>423</v>
      </c>
      <c r="C337">
        <v>4224867.51</v>
      </c>
      <c r="D337">
        <v>0</v>
      </c>
    </row>
    <row r="338" spans="1:4" x14ac:dyDescent="0.25">
      <c r="A338" t="s">
        <v>456</v>
      </c>
      <c r="B338" t="s">
        <v>436</v>
      </c>
      <c r="C338">
        <v>1343355.48</v>
      </c>
      <c r="D338">
        <v>0</v>
      </c>
    </row>
    <row r="339" spans="1:4" x14ac:dyDescent="0.25">
      <c r="A339" t="s">
        <v>456</v>
      </c>
      <c r="B339" t="s">
        <v>424</v>
      </c>
      <c r="C339">
        <v>10170862.59</v>
      </c>
      <c r="D339">
        <v>0</v>
      </c>
    </row>
    <row r="340" spans="1:4" x14ac:dyDescent="0.25">
      <c r="A340" t="s">
        <v>456</v>
      </c>
      <c r="B340" t="s">
        <v>153</v>
      </c>
      <c r="C340">
        <v>309963.59000000003</v>
      </c>
      <c r="D340">
        <v>0</v>
      </c>
    </row>
    <row r="341" spans="1:4" x14ac:dyDescent="0.25">
      <c r="A341" t="s">
        <v>456</v>
      </c>
      <c r="B341" t="s">
        <v>425</v>
      </c>
      <c r="C341">
        <v>497163.53</v>
      </c>
      <c r="D341">
        <v>0</v>
      </c>
    </row>
    <row r="342" spans="1:4" x14ac:dyDescent="0.25">
      <c r="A342" t="s">
        <v>456</v>
      </c>
      <c r="B342" t="s">
        <v>426</v>
      </c>
      <c r="C342">
        <v>3727835.9000000008</v>
      </c>
      <c r="D342">
        <v>0</v>
      </c>
    </row>
    <row r="343" spans="1:4" x14ac:dyDescent="0.25">
      <c r="A343" t="s">
        <v>456</v>
      </c>
      <c r="B343" t="s">
        <v>427</v>
      </c>
      <c r="C343">
        <v>-3372758.090000012</v>
      </c>
      <c r="D343">
        <v>0</v>
      </c>
    </row>
    <row r="344" spans="1:4" x14ac:dyDescent="0.25">
      <c r="A344" t="s">
        <v>457</v>
      </c>
      <c r="B344" t="s">
        <v>476</v>
      </c>
      <c r="C344">
        <v>10307904.280000001</v>
      </c>
      <c r="D344">
        <v>0</v>
      </c>
    </row>
    <row r="345" spans="1:4" x14ac:dyDescent="0.25">
      <c r="A345" t="s">
        <v>457</v>
      </c>
      <c r="B345" t="s">
        <v>419</v>
      </c>
      <c r="C345">
        <v>530623.85000000009</v>
      </c>
      <c r="D345">
        <v>0</v>
      </c>
    </row>
    <row r="346" spans="1:4" x14ac:dyDescent="0.25">
      <c r="A346" t="s">
        <v>457</v>
      </c>
      <c r="B346" t="s">
        <v>420</v>
      </c>
      <c r="C346">
        <v>0</v>
      </c>
      <c r="D346">
        <v>0</v>
      </c>
    </row>
    <row r="347" spans="1:4" x14ac:dyDescent="0.25">
      <c r="A347" t="s">
        <v>457</v>
      </c>
      <c r="B347" t="s">
        <v>421</v>
      </c>
      <c r="C347">
        <v>12232618.540000001</v>
      </c>
      <c r="D347">
        <v>0</v>
      </c>
    </row>
    <row r="348" spans="1:4" x14ac:dyDescent="0.25">
      <c r="A348" t="s">
        <v>457</v>
      </c>
      <c r="B348" t="s">
        <v>422</v>
      </c>
      <c r="C348">
        <v>2601159.9900000002</v>
      </c>
      <c r="D348">
        <v>0</v>
      </c>
    </row>
    <row r="349" spans="1:4" x14ac:dyDescent="0.25">
      <c r="A349" t="s">
        <v>457</v>
      </c>
      <c r="B349" t="s">
        <v>423</v>
      </c>
      <c r="C349">
        <v>3551728.71</v>
      </c>
      <c r="D349">
        <v>0</v>
      </c>
    </row>
    <row r="350" spans="1:4" x14ac:dyDescent="0.25">
      <c r="A350" t="s">
        <v>457</v>
      </c>
      <c r="B350" t="s">
        <v>436</v>
      </c>
      <c r="C350">
        <v>1363795.11</v>
      </c>
      <c r="D350">
        <v>0</v>
      </c>
    </row>
    <row r="351" spans="1:4" x14ac:dyDescent="0.25">
      <c r="A351" t="s">
        <v>457</v>
      </c>
      <c r="B351" t="s">
        <v>424</v>
      </c>
      <c r="C351">
        <v>11017023.5</v>
      </c>
      <c r="D351">
        <v>0</v>
      </c>
    </row>
    <row r="352" spans="1:4" x14ac:dyDescent="0.25">
      <c r="A352" t="s">
        <v>457</v>
      </c>
      <c r="B352" t="s">
        <v>153</v>
      </c>
      <c r="C352">
        <v>965150.66999999993</v>
      </c>
      <c r="D352">
        <v>0</v>
      </c>
    </row>
    <row r="353" spans="1:15" x14ac:dyDescent="0.25">
      <c r="A353" t="s">
        <v>457</v>
      </c>
      <c r="B353" t="s">
        <v>425</v>
      </c>
      <c r="C353">
        <v>433273.56999999989</v>
      </c>
      <c r="D353">
        <v>0</v>
      </c>
    </row>
    <row r="354" spans="1:15" x14ac:dyDescent="0.25">
      <c r="A354" t="s">
        <v>457</v>
      </c>
      <c r="B354" t="s">
        <v>426</v>
      </c>
      <c r="C354">
        <v>2738341.08</v>
      </c>
      <c r="D354">
        <v>0</v>
      </c>
    </row>
    <row r="355" spans="1:15" x14ac:dyDescent="0.25">
      <c r="A355" t="s">
        <v>457</v>
      </c>
      <c r="B355" t="s">
        <v>427</v>
      </c>
      <c r="C355">
        <v>-3098584.580000001</v>
      </c>
      <c r="D355">
        <v>0</v>
      </c>
    </row>
    <row r="356" spans="1:15" x14ac:dyDescent="0.25">
      <c r="A356" t="s">
        <v>458</v>
      </c>
      <c r="B356" t="s">
        <v>476</v>
      </c>
      <c r="C356">
        <v>10720744.789999999</v>
      </c>
      <c r="D356">
        <v>0</v>
      </c>
    </row>
    <row r="357" spans="1:15" x14ac:dyDescent="0.25">
      <c r="A357" t="s">
        <v>458</v>
      </c>
      <c r="B357" t="s">
        <v>419</v>
      </c>
      <c r="C357">
        <v>-79138.59</v>
      </c>
      <c r="D357">
        <v>0</v>
      </c>
    </row>
    <row r="358" spans="1:15" x14ac:dyDescent="0.25">
      <c r="A358" t="s">
        <v>458</v>
      </c>
      <c r="B358" t="s">
        <v>420</v>
      </c>
      <c r="C358">
        <v>0</v>
      </c>
      <c r="D358">
        <v>0</v>
      </c>
    </row>
    <row r="359" spans="1:15" x14ac:dyDescent="0.25">
      <c r="A359" t="s">
        <v>458</v>
      </c>
      <c r="B359" t="s">
        <v>421</v>
      </c>
      <c r="C359">
        <v>10937964.140000001</v>
      </c>
      <c r="D359">
        <v>0</v>
      </c>
    </row>
    <row r="360" spans="1:15" x14ac:dyDescent="0.25">
      <c r="A360" t="s">
        <v>458</v>
      </c>
      <c r="B360" t="s">
        <v>422</v>
      </c>
      <c r="C360">
        <v>2813358.25</v>
      </c>
      <c r="D360">
        <v>0</v>
      </c>
    </row>
    <row r="361" spans="1:15" x14ac:dyDescent="0.25">
      <c r="A361" t="s">
        <v>458</v>
      </c>
      <c r="B361" t="s">
        <v>423</v>
      </c>
      <c r="C361">
        <v>3974521.54</v>
      </c>
      <c r="D361">
        <v>0</v>
      </c>
    </row>
    <row r="362" spans="1:15" x14ac:dyDescent="0.25">
      <c r="A362" t="s">
        <v>458</v>
      </c>
      <c r="B362" t="s">
        <v>436</v>
      </c>
      <c r="C362">
        <v>1694166.16</v>
      </c>
      <c r="D362">
        <v>0</v>
      </c>
    </row>
    <row r="363" spans="1:15" x14ac:dyDescent="0.25">
      <c r="A363" t="s">
        <v>458</v>
      </c>
      <c r="B363" t="s">
        <v>424</v>
      </c>
      <c r="C363">
        <v>10904887.6</v>
      </c>
      <c r="D363">
        <v>0</v>
      </c>
    </row>
    <row r="364" spans="1:15" x14ac:dyDescent="0.25">
      <c r="A364" t="s">
        <v>458</v>
      </c>
      <c r="B364" t="s">
        <v>153</v>
      </c>
      <c r="C364">
        <v>3867412.89</v>
      </c>
      <c r="D364">
        <v>0</v>
      </c>
    </row>
    <row r="365" spans="1:15" x14ac:dyDescent="0.25">
      <c r="A365" t="s">
        <v>458</v>
      </c>
      <c r="B365" t="s">
        <v>425</v>
      </c>
      <c r="C365">
        <v>494792.69999999995</v>
      </c>
      <c r="D365">
        <v>0</v>
      </c>
    </row>
    <row r="366" spans="1:15" x14ac:dyDescent="0.25">
      <c r="A366" t="s">
        <v>458</v>
      </c>
      <c r="B366" t="s">
        <v>426</v>
      </c>
      <c r="C366">
        <v>4172276.9800000004</v>
      </c>
      <c r="D366">
        <v>0</v>
      </c>
    </row>
    <row r="367" spans="1:15" x14ac:dyDescent="0.25">
      <c r="A367" t="s">
        <v>458</v>
      </c>
      <c r="B367" t="s">
        <v>427</v>
      </c>
      <c r="C367">
        <v>197952.7400000123</v>
      </c>
      <c r="D367">
        <v>0</v>
      </c>
    </row>
    <row r="368" spans="1:15" x14ac:dyDescent="0.25">
      <c r="A368" t="s">
        <v>459</v>
      </c>
      <c r="B368" t="s">
        <v>476</v>
      </c>
      <c r="C368">
        <v>10103629.560000001</v>
      </c>
      <c r="D368">
        <v>0</v>
      </c>
      <c r="O368">
        <v>52889</v>
      </c>
    </row>
    <row r="369" spans="1:4" x14ac:dyDescent="0.25">
      <c r="A369" t="s">
        <v>459</v>
      </c>
      <c r="B369" t="s">
        <v>419</v>
      </c>
      <c r="C369">
        <v>2244083.84</v>
      </c>
      <c r="D369">
        <v>0</v>
      </c>
    </row>
    <row r="370" spans="1:4" x14ac:dyDescent="0.25">
      <c r="A370" t="s">
        <v>459</v>
      </c>
      <c r="B370" t="s">
        <v>420</v>
      </c>
      <c r="C370">
        <v>0</v>
      </c>
      <c r="D370">
        <v>0</v>
      </c>
    </row>
    <row r="371" spans="1:4" x14ac:dyDescent="0.25">
      <c r="A371" t="s">
        <v>459</v>
      </c>
      <c r="B371" t="s">
        <v>421</v>
      </c>
      <c r="C371">
        <v>12623062.600000001</v>
      </c>
      <c r="D371">
        <v>0</v>
      </c>
    </row>
    <row r="372" spans="1:4" x14ac:dyDescent="0.25">
      <c r="A372" t="s">
        <v>459</v>
      </c>
      <c r="B372" t="s">
        <v>422</v>
      </c>
      <c r="C372">
        <v>2588219.58</v>
      </c>
      <c r="D372">
        <v>0</v>
      </c>
    </row>
    <row r="373" spans="1:4" x14ac:dyDescent="0.25">
      <c r="A373" t="s">
        <v>459</v>
      </c>
      <c r="B373" t="s">
        <v>423</v>
      </c>
      <c r="C373">
        <v>3736200.02</v>
      </c>
      <c r="D373">
        <v>0</v>
      </c>
    </row>
    <row r="374" spans="1:4" x14ac:dyDescent="0.25">
      <c r="A374" t="s">
        <v>459</v>
      </c>
      <c r="B374" t="s">
        <v>436</v>
      </c>
      <c r="C374">
        <v>0</v>
      </c>
      <c r="D374">
        <v>0</v>
      </c>
    </row>
    <row r="375" spans="1:4" x14ac:dyDescent="0.25">
      <c r="A375" t="s">
        <v>459</v>
      </c>
      <c r="B375" t="s">
        <v>424</v>
      </c>
      <c r="C375">
        <v>10333174.34</v>
      </c>
      <c r="D375">
        <v>0</v>
      </c>
    </row>
    <row r="376" spans="1:4" x14ac:dyDescent="0.25">
      <c r="A376" t="s">
        <v>459</v>
      </c>
      <c r="B376" t="s">
        <v>153</v>
      </c>
      <c r="C376">
        <v>674525.77999999991</v>
      </c>
      <c r="D376">
        <v>0</v>
      </c>
    </row>
    <row r="377" spans="1:4" x14ac:dyDescent="0.25">
      <c r="A377" t="s">
        <v>459</v>
      </c>
      <c r="B377" t="s">
        <v>425</v>
      </c>
      <c r="C377">
        <v>489552.08999999991</v>
      </c>
      <c r="D377">
        <v>0</v>
      </c>
    </row>
    <row r="378" spans="1:4" x14ac:dyDescent="0.25">
      <c r="A378" t="s">
        <v>459</v>
      </c>
      <c r="B378" t="s">
        <v>426</v>
      </c>
      <c r="C378">
        <v>4344979.8499999996</v>
      </c>
      <c r="D378">
        <v>0</v>
      </c>
    </row>
    <row r="379" spans="1:4" x14ac:dyDescent="0.25">
      <c r="A379" t="s">
        <v>459</v>
      </c>
      <c r="B379" t="s">
        <v>427</v>
      </c>
      <c r="C379">
        <v>-2388946.5499999998</v>
      </c>
      <c r="D379">
        <v>0</v>
      </c>
    </row>
    <row r="380" spans="1:4" x14ac:dyDescent="0.25">
      <c r="A380" t="s">
        <v>460</v>
      </c>
      <c r="B380" t="s">
        <v>476</v>
      </c>
      <c r="C380">
        <v>10284929.220000001</v>
      </c>
      <c r="D380">
        <v>0</v>
      </c>
    </row>
    <row r="381" spans="1:4" x14ac:dyDescent="0.25">
      <c r="A381" t="s">
        <v>460</v>
      </c>
      <c r="B381" t="s">
        <v>419</v>
      </c>
      <c r="C381">
        <v>130501.94000000002</v>
      </c>
      <c r="D381">
        <v>0</v>
      </c>
    </row>
    <row r="382" spans="1:4" x14ac:dyDescent="0.25">
      <c r="A382" t="s">
        <v>460</v>
      </c>
      <c r="B382" t="s">
        <v>420</v>
      </c>
      <c r="C382">
        <v>0</v>
      </c>
      <c r="D382">
        <v>0</v>
      </c>
    </row>
    <row r="383" spans="1:4" x14ac:dyDescent="0.25">
      <c r="A383" t="s">
        <v>460</v>
      </c>
      <c r="B383" t="s">
        <v>421</v>
      </c>
      <c r="C383">
        <v>13278641.040000001</v>
      </c>
      <c r="D383">
        <v>0</v>
      </c>
    </row>
    <row r="384" spans="1:4" x14ac:dyDescent="0.25">
      <c r="A384" t="s">
        <v>460</v>
      </c>
      <c r="B384" t="s">
        <v>422</v>
      </c>
      <c r="C384">
        <v>2763986.64</v>
      </c>
      <c r="D384">
        <v>0</v>
      </c>
    </row>
    <row r="385" spans="1:4" x14ac:dyDescent="0.25">
      <c r="A385" t="s">
        <v>460</v>
      </c>
      <c r="B385" t="s">
        <v>423</v>
      </c>
      <c r="C385">
        <v>3860684.96</v>
      </c>
      <c r="D385">
        <v>0</v>
      </c>
    </row>
    <row r="386" spans="1:4" x14ac:dyDescent="0.25">
      <c r="A386" t="s">
        <v>460</v>
      </c>
      <c r="B386" t="s">
        <v>436</v>
      </c>
      <c r="C386">
        <v>0</v>
      </c>
      <c r="D386">
        <v>0</v>
      </c>
    </row>
    <row r="387" spans="1:4" x14ac:dyDescent="0.25">
      <c r="A387" t="s">
        <v>460</v>
      </c>
      <c r="B387" t="s">
        <v>424</v>
      </c>
      <c r="C387">
        <v>10911347.09</v>
      </c>
      <c r="D387">
        <v>0</v>
      </c>
    </row>
    <row r="388" spans="1:4" x14ac:dyDescent="0.25">
      <c r="A388" t="s">
        <v>460</v>
      </c>
      <c r="B388" t="s">
        <v>153</v>
      </c>
      <c r="C388">
        <v>1823835.29</v>
      </c>
      <c r="D388">
        <v>0</v>
      </c>
    </row>
    <row r="389" spans="1:4" x14ac:dyDescent="0.25">
      <c r="A389" t="s">
        <v>460</v>
      </c>
      <c r="B389" t="s">
        <v>425</v>
      </c>
      <c r="C389">
        <v>496473.19</v>
      </c>
      <c r="D389">
        <v>0</v>
      </c>
    </row>
    <row r="390" spans="1:4" x14ac:dyDescent="0.25">
      <c r="A390" t="s">
        <v>460</v>
      </c>
      <c r="B390" t="s">
        <v>426</v>
      </c>
      <c r="C390">
        <v>3902053.1599999997</v>
      </c>
      <c r="D390">
        <v>0</v>
      </c>
    </row>
    <row r="391" spans="1:4" x14ac:dyDescent="0.25">
      <c r="A391" t="s">
        <v>460</v>
      </c>
      <c r="B391" t="s">
        <v>427</v>
      </c>
      <c r="C391">
        <v>70522.289999999542</v>
      </c>
      <c r="D391">
        <v>0</v>
      </c>
    </row>
    <row r="392" spans="1:4" x14ac:dyDescent="0.25">
      <c r="A392" t="s">
        <v>461</v>
      </c>
      <c r="B392" t="s">
        <v>476</v>
      </c>
      <c r="C392">
        <v>10204187.449999999</v>
      </c>
      <c r="D392">
        <v>0</v>
      </c>
    </row>
    <row r="393" spans="1:4" x14ac:dyDescent="0.25">
      <c r="A393" t="s">
        <v>461</v>
      </c>
      <c r="B393" t="s">
        <v>419</v>
      </c>
      <c r="C393">
        <v>645928.14</v>
      </c>
      <c r="D393">
        <v>0</v>
      </c>
    </row>
    <row r="394" spans="1:4" x14ac:dyDescent="0.25">
      <c r="A394" t="s">
        <v>461</v>
      </c>
      <c r="B394" t="s">
        <v>420</v>
      </c>
      <c r="C394">
        <v>0</v>
      </c>
      <c r="D394">
        <v>0</v>
      </c>
    </row>
    <row r="395" spans="1:4" x14ac:dyDescent="0.25">
      <c r="A395" t="s">
        <v>461</v>
      </c>
      <c r="B395" t="s">
        <v>421</v>
      </c>
      <c r="C395">
        <v>12914340.369999999</v>
      </c>
      <c r="D395">
        <v>0</v>
      </c>
    </row>
    <row r="396" spans="1:4" x14ac:dyDescent="0.25">
      <c r="A396" t="s">
        <v>461</v>
      </c>
      <c r="B396" t="s">
        <v>422</v>
      </c>
      <c r="C396">
        <v>2739404.1100000013</v>
      </c>
      <c r="D396">
        <v>0</v>
      </c>
    </row>
    <row r="397" spans="1:4" x14ac:dyDescent="0.25">
      <c r="A397" t="s">
        <v>461</v>
      </c>
      <c r="B397" t="s">
        <v>423</v>
      </c>
      <c r="C397">
        <v>3725848.6199999996</v>
      </c>
      <c r="D397">
        <v>0</v>
      </c>
    </row>
    <row r="398" spans="1:4" x14ac:dyDescent="0.25">
      <c r="A398" t="s">
        <v>461</v>
      </c>
      <c r="B398" t="s">
        <v>436</v>
      </c>
      <c r="C398">
        <v>0</v>
      </c>
      <c r="D398">
        <v>0</v>
      </c>
    </row>
    <row r="399" spans="1:4" x14ac:dyDescent="0.25">
      <c r="A399" t="s">
        <v>461</v>
      </c>
      <c r="B399" t="s">
        <v>424</v>
      </c>
      <c r="C399">
        <v>10809581.959999999</v>
      </c>
      <c r="D399">
        <v>0</v>
      </c>
    </row>
    <row r="400" spans="1:4" x14ac:dyDescent="0.25">
      <c r="A400" t="s">
        <v>461</v>
      </c>
      <c r="B400" t="s">
        <v>153</v>
      </c>
      <c r="C400">
        <v>3180874.71</v>
      </c>
      <c r="D400">
        <v>0</v>
      </c>
    </row>
    <row r="401" spans="1:4" x14ac:dyDescent="0.25">
      <c r="A401" t="s">
        <v>461</v>
      </c>
      <c r="B401" t="s">
        <v>425</v>
      </c>
      <c r="C401">
        <v>478223.72000000003</v>
      </c>
      <c r="D401">
        <v>0</v>
      </c>
    </row>
    <row r="402" spans="1:4" x14ac:dyDescent="0.25">
      <c r="A402" t="s">
        <v>461</v>
      </c>
      <c r="B402" t="s">
        <v>426</v>
      </c>
      <c r="C402">
        <v>3879872.13</v>
      </c>
      <c r="D402">
        <v>0</v>
      </c>
    </row>
    <row r="403" spans="1:4" x14ac:dyDescent="0.25">
      <c r="A403" t="s">
        <v>461</v>
      </c>
      <c r="B403" t="s">
        <v>427</v>
      </c>
      <c r="C403">
        <v>-2171392.1800000053</v>
      </c>
      <c r="D403">
        <v>0</v>
      </c>
    </row>
    <row r="404" spans="1:4" x14ac:dyDescent="0.25">
      <c r="A404" t="s">
        <v>462</v>
      </c>
      <c r="B404" t="s">
        <v>476</v>
      </c>
      <c r="C404">
        <v>10399167.42</v>
      </c>
      <c r="D404">
        <v>0</v>
      </c>
    </row>
    <row r="405" spans="1:4" x14ac:dyDescent="0.25">
      <c r="A405" t="s">
        <v>462</v>
      </c>
      <c r="B405" t="s">
        <v>419</v>
      </c>
      <c r="C405">
        <v>-151364.20000000001</v>
      </c>
      <c r="D405">
        <v>0</v>
      </c>
    </row>
    <row r="406" spans="1:4" x14ac:dyDescent="0.25">
      <c r="A406" t="s">
        <v>462</v>
      </c>
      <c r="B406" t="s">
        <v>420</v>
      </c>
      <c r="C406">
        <v>0</v>
      </c>
      <c r="D406">
        <v>0</v>
      </c>
    </row>
    <row r="407" spans="1:4" x14ac:dyDescent="0.25">
      <c r="A407" t="s">
        <v>462</v>
      </c>
      <c r="B407" t="s">
        <v>421</v>
      </c>
      <c r="C407">
        <v>13265097.9</v>
      </c>
      <c r="D407">
        <v>0</v>
      </c>
    </row>
    <row r="408" spans="1:4" x14ac:dyDescent="0.25">
      <c r="A408" t="s">
        <v>462</v>
      </c>
      <c r="B408" t="s">
        <v>422</v>
      </c>
      <c r="C408">
        <v>2743690.7000000011</v>
      </c>
      <c r="D408">
        <v>0</v>
      </c>
    </row>
    <row r="409" spans="1:4" x14ac:dyDescent="0.25">
      <c r="A409" t="s">
        <v>462</v>
      </c>
      <c r="B409" t="s">
        <v>423</v>
      </c>
      <c r="C409">
        <v>3865294.77</v>
      </c>
      <c r="D409">
        <v>0</v>
      </c>
    </row>
    <row r="410" spans="1:4" x14ac:dyDescent="0.25">
      <c r="A410" t="s">
        <v>462</v>
      </c>
      <c r="B410" t="s">
        <v>436</v>
      </c>
      <c r="C410">
        <v>0</v>
      </c>
      <c r="D410">
        <v>0</v>
      </c>
    </row>
    <row r="411" spans="1:4" x14ac:dyDescent="0.25">
      <c r="A411" t="s">
        <v>462</v>
      </c>
      <c r="B411" t="s">
        <v>424</v>
      </c>
      <c r="C411">
        <v>10933401.880000001</v>
      </c>
      <c r="D411">
        <v>0</v>
      </c>
    </row>
    <row r="412" spans="1:4" x14ac:dyDescent="0.25">
      <c r="A412" t="s">
        <v>462</v>
      </c>
      <c r="B412" t="s">
        <v>153</v>
      </c>
      <c r="C412">
        <v>959534.73999999976</v>
      </c>
      <c r="D412">
        <v>0</v>
      </c>
    </row>
    <row r="413" spans="1:4" x14ac:dyDescent="0.25">
      <c r="A413" t="s">
        <v>462</v>
      </c>
      <c r="B413" t="s">
        <v>425</v>
      </c>
      <c r="C413">
        <v>492742.61000000004</v>
      </c>
      <c r="D413">
        <v>0</v>
      </c>
    </row>
    <row r="414" spans="1:4" x14ac:dyDescent="0.25">
      <c r="A414" t="s">
        <v>462</v>
      </c>
      <c r="B414" t="s">
        <v>426</v>
      </c>
      <c r="C414">
        <v>3495626.2100000009</v>
      </c>
      <c r="D414">
        <v>0</v>
      </c>
    </row>
    <row r="415" spans="1:4" x14ac:dyDescent="0.25">
      <c r="A415" t="s">
        <v>462</v>
      </c>
      <c r="B415" t="s">
        <v>427</v>
      </c>
      <c r="C415">
        <v>-25886.270000000881</v>
      </c>
      <c r="D415">
        <v>0</v>
      </c>
    </row>
    <row r="416" spans="1:4" x14ac:dyDescent="0.25">
      <c r="A416" t="s">
        <v>463</v>
      </c>
      <c r="B416" t="s">
        <v>476</v>
      </c>
      <c r="C416">
        <v>10123636.59</v>
      </c>
      <c r="D416">
        <v>0</v>
      </c>
    </row>
    <row r="417" spans="1:4" x14ac:dyDescent="0.25">
      <c r="A417" t="s">
        <v>463</v>
      </c>
      <c r="B417" t="s">
        <v>419</v>
      </c>
      <c r="C417">
        <v>682695.32999999984</v>
      </c>
      <c r="D417">
        <v>0</v>
      </c>
    </row>
    <row r="418" spans="1:4" x14ac:dyDescent="0.25">
      <c r="A418" t="s">
        <v>463</v>
      </c>
      <c r="B418" t="s">
        <v>420</v>
      </c>
      <c r="C418">
        <v>0</v>
      </c>
      <c r="D418">
        <v>0</v>
      </c>
    </row>
    <row r="419" spans="1:4" x14ac:dyDescent="0.25">
      <c r="A419" t="s">
        <v>463</v>
      </c>
      <c r="B419" t="s">
        <v>421</v>
      </c>
      <c r="C419">
        <v>13365167.100000001</v>
      </c>
      <c r="D419">
        <v>0</v>
      </c>
    </row>
    <row r="420" spans="1:4" x14ac:dyDescent="0.25">
      <c r="A420" t="s">
        <v>463</v>
      </c>
      <c r="B420" t="s">
        <v>422</v>
      </c>
      <c r="C420">
        <v>2727053.62</v>
      </c>
      <c r="D420">
        <v>0</v>
      </c>
    </row>
    <row r="421" spans="1:4" x14ac:dyDescent="0.25">
      <c r="A421" t="s">
        <v>463</v>
      </c>
      <c r="B421" t="s">
        <v>423</v>
      </c>
      <c r="C421">
        <v>3618244.21</v>
      </c>
      <c r="D421">
        <v>0</v>
      </c>
    </row>
    <row r="422" spans="1:4" x14ac:dyDescent="0.25">
      <c r="A422" t="s">
        <v>463</v>
      </c>
      <c r="B422" t="s">
        <v>436</v>
      </c>
      <c r="C422">
        <v>0</v>
      </c>
      <c r="D422">
        <v>0</v>
      </c>
    </row>
    <row r="423" spans="1:4" x14ac:dyDescent="0.25">
      <c r="A423" t="s">
        <v>463</v>
      </c>
      <c r="B423" t="s">
        <v>424</v>
      </c>
      <c r="C423">
        <v>10462447.85</v>
      </c>
      <c r="D423">
        <v>0</v>
      </c>
    </row>
    <row r="424" spans="1:4" x14ac:dyDescent="0.25">
      <c r="A424" t="s">
        <v>463</v>
      </c>
      <c r="B424" t="s">
        <v>153</v>
      </c>
      <c r="C424">
        <v>3365756.6</v>
      </c>
      <c r="D424">
        <v>0</v>
      </c>
    </row>
    <row r="425" spans="1:4" x14ac:dyDescent="0.25">
      <c r="A425" t="s">
        <v>463</v>
      </c>
      <c r="B425" t="s">
        <v>425</v>
      </c>
      <c r="C425">
        <v>469204.12999999989</v>
      </c>
      <c r="D425">
        <v>0</v>
      </c>
    </row>
    <row r="426" spans="1:4" x14ac:dyDescent="0.25">
      <c r="A426" t="s">
        <v>463</v>
      </c>
      <c r="B426" t="s">
        <v>426</v>
      </c>
      <c r="C426">
        <v>3524553.02</v>
      </c>
      <c r="D426">
        <v>0</v>
      </c>
    </row>
    <row r="427" spans="1:4" x14ac:dyDescent="0.25">
      <c r="A427" t="s">
        <v>463</v>
      </c>
      <c r="B427" t="s">
        <v>427</v>
      </c>
      <c r="C427">
        <v>436868.220000008</v>
      </c>
      <c r="D427">
        <v>0</v>
      </c>
    </row>
    <row r="428" spans="1:4" x14ac:dyDescent="0.25">
      <c r="A428" t="s">
        <v>464</v>
      </c>
      <c r="B428" t="s">
        <v>476</v>
      </c>
      <c r="C428">
        <v>10330352.52</v>
      </c>
      <c r="D428">
        <v>0</v>
      </c>
    </row>
    <row r="429" spans="1:4" x14ac:dyDescent="0.25">
      <c r="A429" t="s">
        <v>464</v>
      </c>
      <c r="B429" t="s">
        <v>419</v>
      </c>
      <c r="C429">
        <v>-387510.13999999978</v>
      </c>
      <c r="D429">
        <v>0</v>
      </c>
    </row>
    <row r="430" spans="1:4" x14ac:dyDescent="0.25">
      <c r="A430" t="s">
        <v>464</v>
      </c>
      <c r="B430" t="s">
        <v>420</v>
      </c>
      <c r="C430">
        <v>0</v>
      </c>
      <c r="D430">
        <v>0</v>
      </c>
    </row>
    <row r="431" spans="1:4" x14ac:dyDescent="0.25">
      <c r="A431" t="s">
        <v>464</v>
      </c>
      <c r="B431" t="s">
        <v>421</v>
      </c>
      <c r="C431">
        <v>13015129.58</v>
      </c>
      <c r="D431">
        <v>0</v>
      </c>
    </row>
    <row r="432" spans="1:4" x14ac:dyDescent="0.25">
      <c r="A432" t="s">
        <v>464</v>
      </c>
      <c r="B432" t="s">
        <v>422</v>
      </c>
      <c r="C432">
        <v>2704582.71</v>
      </c>
      <c r="D432">
        <v>0</v>
      </c>
    </row>
    <row r="433" spans="1:4" x14ac:dyDescent="0.25">
      <c r="A433" t="s">
        <v>464</v>
      </c>
      <c r="B433" t="s">
        <v>423</v>
      </c>
      <c r="C433">
        <v>3744977.33</v>
      </c>
      <c r="D433">
        <v>0</v>
      </c>
    </row>
    <row r="434" spans="1:4" x14ac:dyDescent="0.25">
      <c r="A434" t="s">
        <v>464</v>
      </c>
      <c r="B434" t="s">
        <v>436</v>
      </c>
      <c r="C434">
        <v>0</v>
      </c>
      <c r="D434">
        <v>0</v>
      </c>
    </row>
    <row r="435" spans="1:4" x14ac:dyDescent="0.25">
      <c r="A435" t="s">
        <v>464</v>
      </c>
      <c r="B435" t="s">
        <v>424</v>
      </c>
      <c r="C435">
        <v>10544265.24</v>
      </c>
      <c r="D435">
        <v>0</v>
      </c>
    </row>
    <row r="436" spans="1:4" x14ac:dyDescent="0.25">
      <c r="A436" t="s">
        <v>464</v>
      </c>
      <c r="B436" t="s">
        <v>153</v>
      </c>
      <c r="C436">
        <v>3963254.77</v>
      </c>
      <c r="D436">
        <v>0</v>
      </c>
    </row>
    <row r="437" spans="1:4" x14ac:dyDescent="0.25">
      <c r="A437" t="s">
        <v>464</v>
      </c>
      <c r="B437" t="s">
        <v>425</v>
      </c>
      <c r="C437">
        <v>470858.02999999997</v>
      </c>
      <c r="D437">
        <v>0</v>
      </c>
    </row>
    <row r="438" spans="1:4" x14ac:dyDescent="0.25">
      <c r="A438" t="s">
        <v>464</v>
      </c>
      <c r="B438" t="s">
        <v>426</v>
      </c>
      <c r="C438">
        <v>3389763.5100000012</v>
      </c>
      <c r="D438">
        <v>0</v>
      </c>
    </row>
    <row r="439" spans="1:4" x14ac:dyDescent="0.25">
      <c r="A439" t="s">
        <v>464</v>
      </c>
      <c r="B439" t="s">
        <v>427</v>
      </c>
      <c r="C439">
        <v>717630.65999999037</v>
      </c>
      <c r="D439">
        <v>0</v>
      </c>
    </row>
    <row r="440" spans="1:4" x14ac:dyDescent="0.25">
      <c r="A440" t="s">
        <v>465</v>
      </c>
      <c r="B440" t="s">
        <v>476</v>
      </c>
      <c r="C440">
        <v>10280449.770000001</v>
      </c>
      <c r="D440">
        <v>0</v>
      </c>
    </row>
    <row r="441" spans="1:4" x14ac:dyDescent="0.25">
      <c r="A441" t="s">
        <v>465</v>
      </c>
      <c r="B441" t="s">
        <v>419</v>
      </c>
      <c r="C441">
        <v>60417.30000000009</v>
      </c>
      <c r="D441">
        <v>0</v>
      </c>
    </row>
    <row r="442" spans="1:4" x14ac:dyDescent="0.25">
      <c r="A442" t="s">
        <v>465</v>
      </c>
      <c r="B442" t="s">
        <v>420</v>
      </c>
      <c r="C442">
        <v>0</v>
      </c>
      <c r="D442">
        <v>0</v>
      </c>
    </row>
    <row r="443" spans="1:4" x14ac:dyDescent="0.25">
      <c r="A443" t="s">
        <v>465</v>
      </c>
      <c r="B443" t="s">
        <v>421</v>
      </c>
      <c r="C443">
        <v>12857507.039999999</v>
      </c>
      <c r="D443">
        <v>0</v>
      </c>
    </row>
    <row r="444" spans="1:4" x14ac:dyDescent="0.25">
      <c r="A444" t="s">
        <v>465</v>
      </c>
      <c r="B444" t="s">
        <v>422</v>
      </c>
      <c r="C444">
        <v>2737258.27</v>
      </c>
      <c r="D444">
        <v>0</v>
      </c>
    </row>
    <row r="445" spans="1:4" x14ac:dyDescent="0.25">
      <c r="A445" t="s">
        <v>465</v>
      </c>
      <c r="B445" t="s">
        <v>423</v>
      </c>
      <c r="C445">
        <v>3752634.69</v>
      </c>
      <c r="D445">
        <v>0</v>
      </c>
    </row>
    <row r="446" spans="1:4" x14ac:dyDescent="0.25">
      <c r="A446" t="s">
        <v>465</v>
      </c>
      <c r="B446" t="s">
        <v>436</v>
      </c>
      <c r="C446">
        <v>0</v>
      </c>
      <c r="D446">
        <v>0</v>
      </c>
    </row>
    <row r="447" spans="1:4" x14ac:dyDescent="0.25">
      <c r="A447" t="s">
        <v>465</v>
      </c>
      <c r="B447" t="s">
        <v>424</v>
      </c>
      <c r="C447">
        <v>10822524.550000001</v>
      </c>
      <c r="D447">
        <v>0</v>
      </c>
    </row>
    <row r="448" spans="1:4" x14ac:dyDescent="0.25">
      <c r="A448" t="s">
        <v>465</v>
      </c>
      <c r="B448" t="s">
        <v>153</v>
      </c>
      <c r="C448">
        <v>3554823.760000003</v>
      </c>
      <c r="D448">
        <v>0</v>
      </c>
    </row>
    <row r="449" spans="1:4" x14ac:dyDescent="0.25">
      <c r="A449" t="s">
        <v>465</v>
      </c>
      <c r="B449" t="s">
        <v>425</v>
      </c>
      <c r="C449">
        <v>470973.66000000003</v>
      </c>
      <c r="D449">
        <v>0</v>
      </c>
    </row>
    <row r="450" spans="1:4" x14ac:dyDescent="0.25">
      <c r="A450" t="s">
        <v>465</v>
      </c>
      <c r="B450" t="s">
        <v>426</v>
      </c>
      <c r="C450">
        <v>3344374.77</v>
      </c>
      <c r="D450">
        <v>0</v>
      </c>
    </row>
    <row r="451" spans="1:4" x14ac:dyDescent="0.25">
      <c r="A451" t="s">
        <v>465</v>
      </c>
      <c r="B451" t="s">
        <v>427</v>
      </c>
      <c r="C451">
        <v>-1799860.5000000081</v>
      </c>
      <c r="D451">
        <v>0</v>
      </c>
    </row>
    <row r="452" spans="1:4" x14ac:dyDescent="0.25">
      <c r="A452" t="s">
        <v>466</v>
      </c>
      <c r="B452" t="s">
        <v>476</v>
      </c>
      <c r="C452">
        <v>10433823.470000001</v>
      </c>
      <c r="D452">
        <v>0</v>
      </c>
    </row>
    <row r="453" spans="1:4" x14ac:dyDescent="0.25">
      <c r="A453" t="s">
        <v>466</v>
      </c>
      <c r="B453" t="s">
        <v>419</v>
      </c>
      <c r="C453">
        <v>-102831.97</v>
      </c>
      <c r="D453">
        <v>0</v>
      </c>
    </row>
    <row r="454" spans="1:4" x14ac:dyDescent="0.25">
      <c r="A454" t="s">
        <v>466</v>
      </c>
      <c r="B454" t="s">
        <v>420</v>
      </c>
      <c r="C454">
        <v>0</v>
      </c>
      <c r="D454">
        <v>0</v>
      </c>
    </row>
    <row r="455" spans="1:4" x14ac:dyDescent="0.25">
      <c r="A455" t="s">
        <v>466</v>
      </c>
      <c r="B455" t="s">
        <v>421</v>
      </c>
      <c r="C455">
        <v>13235260.51</v>
      </c>
      <c r="D455">
        <v>0</v>
      </c>
    </row>
    <row r="456" spans="1:4" x14ac:dyDescent="0.25">
      <c r="A456" t="s">
        <v>466</v>
      </c>
      <c r="B456" t="s">
        <v>422</v>
      </c>
      <c r="C456">
        <v>2794737.3299999996</v>
      </c>
      <c r="D456">
        <v>0</v>
      </c>
    </row>
    <row r="457" spans="1:4" x14ac:dyDescent="0.25">
      <c r="A457" t="s">
        <v>466</v>
      </c>
      <c r="B457" t="s">
        <v>423</v>
      </c>
      <c r="C457">
        <v>3749461.86</v>
      </c>
      <c r="D457">
        <v>0</v>
      </c>
    </row>
    <row r="458" spans="1:4" x14ac:dyDescent="0.25">
      <c r="A458" t="s">
        <v>466</v>
      </c>
      <c r="B458" t="s">
        <v>436</v>
      </c>
      <c r="C458">
        <v>0</v>
      </c>
      <c r="D458">
        <v>0</v>
      </c>
    </row>
    <row r="459" spans="1:4" x14ac:dyDescent="0.25">
      <c r="A459" t="s">
        <v>466</v>
      </c>
      <c r="B459" t="s">
        <v>424</v>
      </c>
      <c r="C459">
        <v>11296133.98</v>
      </c>
      <c r="D459">
        <v>0</v>
      </c>
    </row>
    <row r="460" spans="1:4" x14ac:dyDescent="0.25">
      <c r="A460" t="s">
        <v>466</v>
      </c>
      <c r="B460" t="s">
        <v>153</v>
      </c>
      <c r="C460">
        <v>1903742.74</v>
      </c>
      <c r="D460">
        <v>0</v>
      </c>
    </row>
    <row r="461" spans="1:4" x14ac:dyDescent="0.25">
      <c r="A461" t="s">
        <v>466</v>
      </c>
      <c r="B461" t="s">
        <v>425</v>
      </c>
      <c r="C461">
        <v>461242.88</v>
      </c>
      <c r="D461">
        <v>0</v>
      </c>
    </row>
    <row r="462" spans="1:4" x14ac:dyDescent="0.25">
      <c r="A462" t="s">
        <v>466</v>
      </c>
      <c r="B462" t="s">
        <v>426</v>
      </c>
      <c r="C462">
        <v>3419255.28</v>
      </c>
      <c r="D462">
        <v>0</v>
      </c>
    </row>
    <row r="463" spans="1:4" x14ac:dyDescent="0.25">
      <c r="A463" t="s">
        <v>466</v>
      </c>
      <c r="B463" t="s">
        <v>427</v>
      </c>
      <c r="C463">
        <v>-2180681.5500000031</v>
      </c>
      <c r="D463">
        <v>0</v>
      </c>
    </row>
    <row r="464" spans="1:4" x14ac:dyDescent="0.25">
      <c r="A464" t="s">
        <v>467</v>
      </c>
      <c r="B464" t="s">
        <v>476</v>
      </c>
      <c r="C464">
        <v>10370639.869999999</v>
      </c>
      <c r="D464">
        <v>0</v>
      </c>
    </row>
    <row r="465" spans="1:4" x14ac:dyDescent="0.25">
      <c r="A465" t="s">
        <v>467</v>
      </c>
      <c r="B465" t="s">
        <v>419</v>
      </c>
      <c r="C465">
        <v>2954356.98</v>
      </c>
      <c r="D465">
        <v>0</v>
      </c>
    </row>
    <row r="466" spans="1:4" x14ac:dyDescent="0.25">
      <c r="A466" t="s">
        <v>467</v>
      </c>
      <c r="B466" t="s">
        <v>420</v>
      </c>
      <c r="C466">
        <v>0</v>
      </c>
      <c r="D466">
        <v>0</v>
      </c>
    </row>
    <row r="467" spans="1:4" x14ac:dyDescent="0.25">
      <c r="A467" t="s">
        <v>467</v>
      </c>
      <c r="B467" t="s">
        <v>421</v>
      </c>
      <c r="C467">
        <v>13124633.870000001</v>
      </c>
      <c r="D467">
        <v>0</v>
      </c>
    </row>
    <row r="468" spans="1:4" x14ac:dyDescent="0.25">
      <c r="A468" t="s">
        <v>467</v>
      </c>
      <c r="B468" t="s">
        <v>422</v>
      </c>
      <c r="C468">
        <v>3249438.4699999997</v>
      </c>
      <c r="D468">
        <v>0</v>
      </c>
    </row>
    <row r="469" spans="1:4" x14ac:dyDescent="0.25">
      <c r="A469" t="s">
        <v>467</v>
      </c>
      <c r="B469" t="s">
        <v>423</v>
      </c>
      <c r="C469">
        <v>3848071.37</v>
      </c>
      <c r="D469">
        <v>0</v>
      </c>
    </row>
    <row r="470" spans="1:4" x14ac:dyDescent="0.25">
      <c r="A470" t="s">
        <v>467</v>
      </c>
      <c r="B470" t="s">
        <v>436</v>
      </c>
      <c r="C470">
        <v>0</v>
      </c>
      <c r="D470">
        <v>0</v>
      </c>
    </row>
    <row r="471" spans="1:4" x14ac:dyDescent="0.25">
      <c r="A471" t="s">
        <v>467</v>
      </c>
      <c r="B471" t="s">
        <v>424</v>
      </c>
      <c r="C471">
        <v>10310759.15</v>
      </c>
      <c r="D471">
        <v>0</v>
      </c>
    </row>
    <row r="472" spans="1:4" x14ac:dyDescent="0.25">
      <c r="A472" t="s">
        <v>467</v>
      </c>
      <c r="B472" t="s">
        <v>153</v>
      </c>
      <c r="C472">
        <v>6378164.2599999988</v>
      </c>
      <c r="D472">
        <v>0</v>
      </c>
    </row>
    <row r="473" spans="1:4" x14ac:dyDescent="0.25">
      <c r="A473" t="s">
        <v>467</v>
      </c>
      <c r="B473" t="s">
        <v>425</v>
      </c>
      <c r="C473">
        <v>465963.25</v>
      </c>
      <c r="D473">
        <v>0</v>
      </c>
    </row>
    <row r="474" spans="1:4" x14ac:dyDescent="0.25">
      <c r="A474" t="s">
        <v>467</v>
      </c>
      <c r="B474" t="s">
        <v>426</v>
      </c>
      <c r="C474">
        <v>3443355.58</v>
      </c>
      <c r="D474">
        <v>0</v>
      </c>
    </row>
    <row r="475" spans="1:4" x14ac:dyDescent="0.25">
      <c r="A475" t="s">
        <v>467</v>
      </c>
      <c r="B475" t="s">
        <v>427</v>
      </c>
      <c r="C475">
        <v>-2501556.8800000101</v>
      </c>
      <c r="D475">
        <v>0</v>
      </c>
    </row>
    <row r="476" spans="1:4" x14ac:dyDescent="0.25">
      <c r="A476" t="s">
        <v>468</v>
      </c>
      <c r="B476" t="s">
        <v>476</v>
      </c>
      <c r="C476">
        <v>9957871.2000000011</v>
      </c>
      <c r="D476">
        <v>0</v>
      </c>
    </row>
    <row r="477" spans="1:4" x14ac:dyDescent="0.25">
      <c r="A477" t="s">
        <v>468</v>
      </c>
      <c r="B477" t="s">
        <v>419</v>
      </c>
      <c r="C477">
        <v>436288.10000000003</v>
      </c>
      <c r="D477">
        <v>0</v>
      </c>
    </row>
    <row r="478" spans="1:4" x14ac:dyDescent="0.25">
      <c r="A478" t="s">
        <v>468</v>
      </c>
      <c r="B478" t="s">
        <v>420</v>
      </c>
      <c r="C478">
        <v>0</v>
      </c>
      <c r="D478">
        <v>0</v>
      </c>
    </row>
    <row r="479" spans="1:4" x14ac:dyDescent="0.25">
      <c r="A479" t="s">
        <v>468</v>
      </c>
      <c r="B479" t="s">
        <v>421</v>
      </c>
      <c r="C479">
        <v>12869614.99</v>
      </c>
      <c r="D479">
        <v>0</v>
      </c>
    </row>
    <row r="480" spans="1:4" x14ac:dyDescent="0.25">
      <c r="A480" t="s">
        <v>468</v>
      </c>
      <c r="B480" t="s">
        <v>422</v>
      </c>
      <c r="C480">
        <v>2987306.63</v>
      </c>
      <c r="D480">
        <v>0</v>
      </c>
    </row>
    <row r="481" spans="1:4" x14ac:dyDescent="0.25">
      <c r="A481" t="s">
        <v>468</v>
      </c>
      <c r="B481" t="s">
        <v>423</v>
      </c>
      <c r="C481">
        <v>3749043.75</v>
      </c>
      <c r="D481">
        <v>0</v>
      </c>
    </row>
    <row r="482" spans="1:4" x14ac:dyDescent="0.25">
      <c r="A482" t="s">
        <v>468</v>
      </c>
      <c r="B482" t="s">
        <v>436</v>
      </c>
      <c r="C482">
        <v>0</v>
      </c>
      <c r="D482">
        <v>0</v>
      </c>
    </row>
    <row r="483" spans="1:4" x14ac:dyDescent="0.25">
      <c r="A483" t="s">
        <v>468</v>
      </c>
      <c r="B483" t="s">
        <v>424</v>
      </c>
      <c r="C483">
        <v>10026316.01</v>
      </c>
      <c r="D483">
        <v>0</v>
      </c>
    </row>
    <row r="484" spans="1:4" x14ac:dyDescent="0.25">
      <c r="A484" t="s">
        <v>468</v>
      </c>
      <c r="B484" t="s">
        <v>153</v>
      </c>
      <c r="C484">
        <v>1792833.35</v>
      </c>
      <c r="D484">
        <v>0</v>
      </c>
    </row>
    <row r="485" spans="1:4" x14ac:dyDescent="0.25">
      <c r="A485" t="s">
        <v>468</v>
      </c>
      <c r="B485" t="s">
        <v>425</v>
      </c>
      <c r="C485">
        <v>458438.66</v>
      </c>
      <c r="D485">
        <v>0</v>
      </c>
    </row>
    <row r="486" spans="1:4" x14ac:dyDescent="0.25">
      <c r="A486" t="s">
        <v>468</v>
      </c>
      <c r="B486" t="s">
        <v>426</v>
      </c>
      <c r="C486">
        <v>4003784.07</v>
      </c>
      <c r="D486">
        <v>0</v>
      </c>
    </row>
    <row r="487" spans="1:4" x14ac:dyDescent="0.25">
      <c r="A487" t="s">
        <v>468</v>
      </c>
      <c r="B487" t="s">
        <v>427</v>
      </c>
      <c r="C487">
        <v>-1754001.680000002</v>
      </c>
      <c r="D487">
        <v>0</v>
      </c>
    </row>
    <row r="488" spans="1:4" x14ac:dyDescent="0.25">
      <c r="A488" t="s">
        <v>469</v>
      </c>
      <c r="B488" t="s">
        <v>476</v>
      </c>
      <c r="C488">
        <v>10773562.08</v>
      </c>
      <c r="D488">
        <v>0</v>
      </c>
    </row>
    <row r="489" spans="1:4" x14ac:dyDescent="0.25">
      <c r="A489" t="s">
        <v>469</v>
      </c>
      <c r="B489" t="s">
        <v>419</v>
      </c>
      <c r="C489">
        <v>832774.79</v>
      </c>
      <c r="D489">
        <v>0</v>
      </c>
    </row>
    <row r="490" spans="1:4" x14ac:dyDescent="0.25">
      <c r="A490" t="s">
        <v>469</v>
      </c>
      <c r="B490" t="s">
        <v>420</v>
      </c>
      <c r="C490">
        <v>0</v>
      </c>
      <c r="D490">
        <v>0</v>
      </c>
    </row>
    <row r="491" spans="1:4" x14ac:dyDescent="0.25">
      <c r="A491" t="s">
        <v>469</v>
      </c>
      <c r="B491" t="s">
        <v>421</v>
      </c>
      <c r="C491">
        <v>12306095.629999999</v>
      </c>
      <c r="D491">
        <v>0</v>
      </c>
    </row>
    <row r="492" spans="1:4" x14ac:dyDescent="0.25">
      <c r="A492" t="s">
        <v>469</v>
      </c>
      <c r="B492" t="s">
        <v>422</v>
      </c>
      <c r="C492">
        <v>2906828.77</v>
      </c>
      <c r="D492">
        <v>0</v>
      </c>
    </row>
    <row r="493" spans="1:4" x14ac:dyDescent="0.25">
      <c r="A493" t="s">
        <v>469</v>
      </c>
      <c r="B493" t="s">
        <v>423</v>
      </c>
      <c r="C493">
        <v>3450194.39</v>
      </c>
      <c r="D493">
        <v>0</v>
      </c>
    </row>
    <row r="494" spans="1:4" x14ac:dyDescent="0.25">
      <c r="A494" t="s">
        <v>469</v>
      </c>
      <c r="B494" t="s">
        <v>436</v>
      </c>
      <c r="C494">
        <v>0</v>
      </c>
      <c r="D494">
        <v>0</v>
      </c>
    </row>
    <row r="495" spans="1:4" x14ac:dyDescent="0.25">
      <c r="A495" t="s">
        <v>469</v>
      </c>
      <c r="B495" t="s">
        <v>424</v>
      </c>
      <c r="C495">
        <v>10273804.08</v>
      </c>
      <c r="D495">
        <v>0</v>
      </c>
    </row>
    <row r="496" spans="1:4" x14ac:dyDescent="0.25">
      <c r="A496" t="s">
        <v>469</v>
      </c>
      <c r="B496" t="s">
        <v>153</v>
      </c>
      <c r="C496">
        <v>5470291.4999999991</v>
      </c>
      <c r="D496">
        <v>0</v>
      </c>
    </row>
    <row r="497" spans="1:15" x14ac:dyDescent="0.25">
      <c r="A497" t="s">
        <v>469</v>
      </c>
      <c r="B497" t="s">
        <v>425</v>
      </c>
      <c r="C497">
        <v>453998.55999999988</v>
      </c>
      <c r="D497">
        <v>0</v>
      </c>
    </row>
    <row r="498" spans="1:15" x14ac:dyDescent="0.25">
      <c r="A498" t="s">
        <v>469</v>
      </c>
      <c r="B498" t="s">
        <v>426</v>
      </c>
      <c r="C498">
        <v>2756960.31</v>
      </c>
      <c r="D498">
        <v>0</v>
      </c>
    </row>
    <row r="499" spans="1:15" x14ac:dyDescent="0.25">
      <c r="A499" t="s">
        <v>469</v>
      </c>
      <c r="B499" t="s">
        <v>427</v>
      </c>
      <c r="C499">
        <v>-1027449.279999999</v>
      </c>
      <c r="D499">
        <v>0</v>
      </c>
    </row>
    <row r="500" spans="1:15" x14ac:dyDescent="0.25">
      <c r="A500" t="s">
        <v>470</v>
      </c>
      <c r="B500" t="s">
        <v>476</v>
      </c>
      <c r="C500">
        <v>10261753.649999999</v>
      </c>
      <c r="D500">
        <v>0</v>
      </c>
    </row>
    <row r="501" spans="1:15" x14ac:dyDescent="0.25">
      <c r="A501" t="s">
        <v>470</v>
      </c>
      <c r="B501" t="s">
        <v>419</v>
      </c>
      <c r="C501">
        <v>-1947049.66</v>
      </c>
      <c r="D501">
        <v>0</v>
      </c>
    </row>
    <row r="502" spans="1:15" x14ac:dyDescent="0.25">
      <c r="A502" t="s">
        <v>470</v>
      </c>
      <c r="B502" t="s">
        <v>420</v>
      </c>
      <c r="C502">
        <v>0</v>
      </c>
      <c r="D502">
        <v>0</v>
      </c>
    </row>
    <row r="503" spans="1:15" x14ac:dyDescent="0.25">
      <c r="A503" t="s">
        <v>470</v>
      </c>
      <c r="B503" t="s">
        <v>421</v>
      </c>
      <c r="C503">
        <v>13562074.76</v>
      </c>
      <c r="D503">
        <v>0</v>
      </c>
    </row>
    <row r="504" spans="1:15" x14ac:dyDescent="0.25">
      <c r="A504" t="s">
        <v>470</v>
      </c>
      <c r="B504" t="s">
        <v>422</v>
      </c>
      <c r="C504">
        <v>3190898.12</v>
      </c>
      <c r="D504">
        <v>0</v>
      </c>
    </row>
    <row r="505" spans="1:15" x14ac:dyDescent="0.25">
      <c r="A505" t="s">
        <v>470</v>
      </c>
      <c r="B505" t="s">
        <v>423</v>
      </c>
      <c r="C505">
        <v>3837644.59</v>
      </c>
      <c r="D505">
        <v>0</v>
      </c>
    </row>
    <row r="506" spans="1:15" x14ac:dyDescent="0.25">
      <c r="A506" t="s">
        <v>470</v>
      </c>
      <c r="B506" t="s">
        <v>436</v>
      </c>
      <c r="C506">
        <v>0</v>
      </c>
      <c r="D506">
        <v>0</v>
      </c>
    </row>
    <row r="507" spans="1:15" x14ac:dyDescent="0.25">
      <c r="A507" t="s">
        <v>470</v>
      </c>
      <c r="B507" t="s">
        <v>424</v>
      </c>
      <c r="C507">
        <v>9711084.8000000007</v>
      </c>
      <c r="D507">
        <v>0</v>
      </c>
    </row>
    <row r="508" spans="1:15" x14ac:dyDescent="0.25">
      <c r="A508" t="s">
        <v>470</v>
      </c>
      <c r="B508" t="s">
        <v>153</v>
      </c>
      <c r="C508">
        <v>3338155.8199999989</v>
      </c>
      <c r="D508">
        <v>0</v>
      </c>
    </row>
    <row r="509" spans="1:15" x14ac:dyDescent="0.25">
      <c r="A509" t="s">
        <v>470</v>
      </c>
      <c r="B509" t="s">
        <v>425</v>
      </c>
      <c r="C509">
        <v>429191.72000000009</v>
      </c>
      <c r="D509">
        <v>0</v>
      </c>
    </row>
    <row r="510" spans="1:15" x14ac:dyDescent="0.25">
      <c r="A510" t="s">
        <v>470</v>
      </c>
      <c r="B510" t="s">
        <v>426</v>
      </c>
      <c r="C510">
        <v>3488349.0799999991</v>
      </c>
      <c r="D510">
        <v>0</v>
      </c>
    </row>
    <row r="511" spans="1:15" x14ac:dyDescent="0.25">
      <c r="A511" t="s">
        <v>470</v>
      </c>
      <c r="B511" t="s">
        <v>427</v>
      </c>
      <c r="C511">
        <v>29994897.770000007</v>
      </c>
      <c r="D511">
        <v>0</v>
      </c>
    </row>
    <row r="512" spans="1:15" x14ac:dyDescent="0.25">
      <c r="A512" t="s">
        <v>471</v>
      </c>
      <c r="B512" t="s">
        <v>476</v>
      </c>
      <c r="C512">
        <f>10388045.99-C513</f>
        <v>10194569.800000001</v>
      </c>
      <c r="D512">
        <v>10381048.421999998</v>
      </c>
      <c r="O512">
        <f>54182-14326</f>
        <v>39856</v>
      </c>
    </row>
    <row r="513" spans="1:4" x14ac:dyDescent="0.25">
      <c r="A513" t="s">
        <v>471</v>
      </c>
      <c r="B513" t="s">
        <v>472</v>
      </c>
      <c r="C513">
        <v>193476.19</v>
      </c>
    </row>
    <row r="514" spans="1:4" x14ac:dyDescent="0.25">
      <c r="A514" t="s">
        <v>471</v>
      </c>
      <c r="B514" t="s">
        <v>419</v>
      </c>
      <c r="C514">
        <v>268855.92000000004</v>
      </c>
      <c r="D514">
        <v>363489.15857142862</v>
      </c>
    </row>
    <row r="515" spans="1:4" x14ac:dyDescent="0.25">
      <c r="A515" t="s">
        <v>471</v>
      </c>
      <c r="B515" t="s">
        <v>420</v>
      </c>
      <c r="C515">
        <v>0</v>
      </c>
      <c r="D515">
        <v>0</v>
      </c>
    </row>
    <row r="516" spans="1:4" x14ac:dyDescent="0.25">
      <c r="A516" t="s">
        <v>471</v>
      </c>
      <c r="B516" t="s">
        <v>421</v>
      </c>
      <c r="C516">
        <v>12664444.74</v>
      </c>
      <c r="D516">
        <v>13043937.78661333</v>
      </c>
    </row>
    <row r="517" spans="1:4" x14ac:dyDescent="0.25">
      <c r="A517" t="s">
        <v>471</v>
      </c>
      <c r="B517" t="s">
        <v>422</v>
      </c>
      <c r="C517">
        <v>2724926.7700000009</v>
      </c>
      <c r="D517">
        <v>3104196.793832832</v>
      </c>
    </row>
    <row r="518" spans="1:4" x14ac:dyDescent="0.25">
      <c r="A518" t="s">
        <v>471</v>
      </c>
      <c r="B518" t="s">
        <v>423</v>
      </c>
      <c r="C518">
        <v>3629696.6199999996</v>
      </c>
      <c r="D518">
        <v>3755696.5177250002</v>
      </c>
    </row>
    <row r="519" spans="1:4" x14ac:dyDescent="0.25">
      <c r="A519" t="s">
        <v>471</v>
      </c>
      <c r="B519" t="s">
        <v>436</v>
      </c>
      <c r="C519">
        <v>0</v>
      </c>
      <c r="D519">
        <v>0</v>
      </c>
    </row>
    <row r="520" spans="1:4" x14ac:dyDescent="0.25">
      <c r="A520" t="s">
        <v>471</v>
      </c>
      <c r="B520" t="s">
        <v>424</v>
      </c>
      <c r="C520">
        <v>9210550.6899999995</v>
      </c>
      <c r="D520">
        <v>10997457.20758361</v>
      </c>
    </row>
    <row r="521" spans="1:4" x14ac:dyDescent="0.25">
      <c r="A521" t="s">
        <v>471</v>
      </c>
      <c r="B521" t="s">
        <v>153</v>
      </c>
      <c r="C521">
        <v>9819762.0299999993</v>
      </c>
      <c r="D521">
        <v>1343742.83</v>
      </c>
    </row>
    <row r="522" spans="1:4" x14ac:dyDescent="0.25">
      <c r="A522" t="s">
        <v>471</v>
      </c>
      <c r="B522" t="s">
        <v>425</v>
      </c>
      <c r="C522">
        <v>419235.72</v>
      </c>
      <c r="D522">
        <v>469494.5233333332</v>
      </c>
    </row>
    <row r="523" spans="1:4" x14ac:dyDescent="0.25">
      <c r="A523" t="s">
        <v>471</v>
      </c>
      <c r="B523" t="s">
        <v>426</v>
      </c>
      <c r="C523">
        <v>2849099.4</v>
      </c>
      <c r="D523">
        <v>3241481.687731815</v>
      </c>
    </row>
    <row r="524" spans="1:4" x14ac:dyDescent="0.25">
      <c r="A524" t="s">
        <v>471</v>
      </c>
      <c r="B524" t="s">
        <v>427</v>
      </c>
      <c r="C524">
        <v>-226585.22000001112</v>
      </c>
      <c r="D524">
        <v>-170396.36285714721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1F64"/>
  </sheetPr>
  <dimension ref="A1:G4"/>
  <sheetViews>
    <sheetView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12" customWidth="1"/>
    <col min="2" max="2" width="22" customWidth="1"/>
    <col min="3" max="5" width="14" customWidth="1"/>
    <col min="6" max="6" width="20" customWidth="1"/>
    <col min="7" max="7" width="14" customWidth="1"/>
  </cols>
  <sheetData>
    <row r="1" spans="1:7" ht="27.95" customHeight="1" x14ac:dyDescent="0.25">
      <c r="A1" s="47" t="s">
        <v>154</v>
      </c>
      <c r="B1" s="40"/>
      <c r="C1" s="40"/>
      <c r="D1" s="40"/>
      <c r="E1" s="40"/>
      <c r="F1" s="40"/>
      <c r="G1" s="40"/>
    </row>
    <row r="2" spans="1:7" ht="18" customHeight="1" x14ac:dyDescent="0.25">
      <c r="A2" s="39" t="s">
        <v>155</v>
      </c>
      <c r="B2" s="40"/>
      <c r="C2" s="40"/>
      <c r="D2" s="40"/>
      <c r="E2" s="40"/>
      <c r="F2" s="40"/>
      <c r="G2" s="40"/>
    </row>
    <row r="3" spans="1:7" ht="36" customHeight="1" x14ac:dyDescent="0.25">
      <c r="A3" s="6" t="s">
        <v>63</v>
      </c>
      <c r="B3" s="6" t="s">
        <v>124</v>
      </c>
      <c r="C3" s="6" t="s">
        <v>65</v>
      </c>
      <c r="D3" s="6" t="s">
        <v>66</v>
      </c>
      <c r="E3" s="6" t="s">
        <v>67</v>
      </c>
      <c r="F3" s="6" t="s">
        <v>140</v>
      </c>
      <c r="G3" s="6" t="s">
        <v>70</v>
      </c>
    </row>
    <row r="4" spans="1:7" ht="32.1" customHeight="1" x14ac:dyDescent="0.25">
      <c r="A4" s="4" t="s">
        <v>79</v>
      </c>
      <c r="B4" s="4" t="s">
        <v>50</v>
      </c>
      <c r="C4" s="4" t="s">
        <v>80</v>
      </c>
      <c r="D4" s="4" t="s">
        <v>81</v>
      </c>
      <c r="E4" s="4" t="s">
        <v>82</v>
      </c>
      <c r="F4" s="4" t="s">
        <v>156</v>
      </c>
      <c r="G4" s="4" t="s">
        <v>148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5464"/>
  </sheetPr>
  <dimension ref="A1:I4"/>
  <sheetViews>
    <sheetView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12" customWidth="1"/>
    <col min="2" max="7" width="14" customWidth="1"/>
    <col min="8" max="8" width="16" customWidth="1"/>
    <col min="9" max="9" width="14" customWidth="1"/>
  </cols>
  <sheetData>
    <row r="1" spans="1:9" ht="27.95" customHeight="1" x14ac:dyDescent="0.25">
      <c r="A1" s="48" t="s">
        <v>157</v>
      </c>
      <c r="B1" s="40"/>
      <c r="C1" s="40"/>
      <c r="D1" s="40"/>
      <c r="E1" s="40"/>
      <c r="F1" s="40"/>
      <c r="G1" s="40"/>
      <c r="H1" s="40"/>
      <c r="I1" s="40"/>
    </row>
    <row r="2" spans="1:9" ht="18" customHeight="1" x14ac:dyDescent="0.25">
      <c r="A2" s="39" t="s">
        <v>158</v>
      </c>
      <c r="B2" s="40"/>
      <c r="C2" s="40"/>
      <c r="D2" s="40"/>
      <c r="E2" s="40"/>
      <c r="F2" s="40"/>
      <c r="G2" s="40"/>
      <c r="H2" s="40"/>
      <c r="I2" s="40"/>
    </row>
    <row r="3" spans="1:9" ht="36" customHeight="1" x14ac:dyDescent="0.25">
      <c r="A3" s="7" t="s">
        <v>63</v>
      </c>
      <c r="B3" s="7" t="s">
        <v>130</v>
      </c>
      <c r="C3" s="7" t="s">
        <v>159</v>
      </c>
      <c r="D3" s="7" t="s">
        <v>127</v>
      </c>
      <c r="E3" s="7" t="s">
        <v>128</v>
      </c>
      <c r="F3" s="7" t="s">
        <v>160</v>
      </c>
      <c r="G3" s="7" t="s">
        <v>161</v>
      </c>
      <c r="H3" s="7" t="s">
        <v>162</v>
      </c>
      <c r="I3" s="7" t="s">
        <v>163</v>
      </c>
    </row>
    <row r="4" spans="1:9" ht="32.1" customHeight="1" x14ac:dyDescent="0.25">
      <c r="A4" s="4" t="s">
        <v>79</v>
      </c>
      <c r="B4" s="4" t="s">
        <v>164</v>
      </c>
      <c r="C4" s="4" t="s">
        <v>165</v>
      </c>
      <c r="D4" s="4" t="s">
        <v>166</v>
      </c>
      <c r="E4" s="4" t="s">
        <v>167</v>
      </c>
      <c r="F4" s="4" t="s">
        <v>168</v>
      </c>
      <c r="G4" s="4" t="s">
        <v>169</v>
      </c>
      <c r="H4" s="4" t="s">
        <v>170</v>
      </c>
      <c r="I4" s="4" t="s">
        <v>171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5464"/>
  </sheetPr>
  <dimension ref="A1:H15"/>
  <sheetViews>
    <sheetView workbookViewId="0">
      <pane ySplit="4" topLeftCell="A5" activePane="bottomLeft" state="frozen"/>
      <selection pane="bottomLeft" activeCell="E11" sqref="E11:E12"/>
    </sheetView>
  </sheetViews>
  <sheetFormatPr defaultRowHeight="15" x14ac:dyDescent="0.25"/>
  <cols>
    <col min="1" max="1" width="12" customWidth="1"/>
    <col min="2" max="3" width="16" customWidth="1"/>
    <col min="4" max="4" width="14" customWidth="1"/>
    <col min="5" max="6" width="16" customWidth="1"/>
    <col min="7" max="7" width="18" customWidth="1"/>
    <col min="8" max="8" width="16" customWidth="1"/>
  </cols>
  <sheetData>
    <row r="1" spans="1:8" ht="27.95" customHeight="1" x14ac:dyDescent="0.25">
      <c r="A1" s="48" t="s">
        <v>172</v>
      </c>
      <c r="B1" s="40"/>
      <c r="C1" s="40"/>
      <c r="D1" s="40"/>
      <c r="E1" s="40"/>
      <c r="F1" s="40"/>
      <c r="G1" s="40"/>
      <c r="H1" s="40"/>
    </row>
    <row r="2" spans="1:8" ht="18" customHeight="1" x14ac:dyDescent="0.25">
      <c r="A2" s="39" t="s">
        <v>173</v>
      </c>
      <c r="B2" s="40"/>
      <c r="C2" s="40"/>
      <c r="D2" s="40"/>
      <c r="E2" s="40"/>
      <c r="F2" s="40"/>
      <c r="G2" s="40"/>
      <c r="H2" s="40"/>
    </row>
    <row r="3" spans="1:8" ht="36" customHeight="1" x14ac:dyDescent="0.25">
      <c r="A3" s="7" t="s">
        <v>63</v>
      </c>
      <c r="B3" s="7" t="s">
        <v>174</v>
      </c>
      <c r="C3" s="7" t="s">
        <v>175</v>
      </c>
      <c r="D3" s="7" t="s">
        <v>176</v>
      </c>
      <c r="E3" s="7" t="s">
        <v>177</v>
      </c>
      <c r="F3" s="7" t="s">
        <v>178</v>
      </c>
      <c r="G3" s="7" t="s">
        <v>179</v>
      </c>
      <c r="H3" s="7" t="s">
        <v>180</v>
      </c>
    </row>
    <row r="4" spans="1:8" ht="32.1" customHeight="1" x14ac:dyDescent="0.25">
      <c r="A4" s="11">
        <v>46113</v>
      </c>
      <c r="B4" s="4">
        <v>220000000</v>
      </c>
      <c r="C4" s="4">
        <v>3229000000</v>
      </c>
      <c r="D4" s="4">
        <v>129000000</v>
      </c>
      <c r="E4" s="4">
        <v>9000000</v>
      </c>
      <c r="F4" s="4">
        <f>220000000</f>
        <v>220000000</v>
      </c>
      <c r="G4" s="4" t="s">
        <v>181</v>
      </c>
      <c r="H4" s="4" t="s">
        <v>182</v>
      </c>
    </row>
    <row r="5" spans="1:8" x14ac:dyDescent="0.25">
      <c r="A5" s="12">
        <v>46143</v>
      </c>
    </row>
    <row r="6" spans="1:8" x14ac:dyDescent="0.25">
      <c r="A6" s="12">
        <v>46174</v>
      </c>
    </row>
    <row r="7" spans="1:8" x14ac:dyDescent="0.25">
      <c r="A7" s="12">
        <v>46204</v>
      </c>
    </row>
    <row r="8" spans="1:8" x14ac:dyDescent="0.25">
      <c r="A8" s="12">
        <v>46235</v>
      </c>
    </row>
    <row r="9" spans="1:8" x14ac:dyDescent="0.25">
      <c r="A9" s="12">
        <v>46266</v>
      </c>
    </row>
    <row r="10" spans="1:8" x14ac:dyDescent="0.25">
      <c r="A10" s="12">
        <v>46296</v>
      </c>
    </row>
    <row r="11" spans="1:8" x14ac:dyDescent="0.25">
      <c r="A11" s="12">
        <v>46327</v>
      </c>
    </row>
    <row r="12" spans="1:8" x14ac:dyDescent="0.25">
      <c r="A12" s="12">
        <v>46357</v>
      </c>
    </row>
    <row r="13" spans="1:8" x14ac:dyDescent="0.25">
      <c r="A13" s="12">
        <v>46388</v>
      </c>
    </row>
    <row r="14" spans="1:8" x14ac:dyDescent="0.25">
      <c r="A14" s="12">
        <v>46419</v>
      </c>
    </row>
    <row r="15" spans="1:8" x14ac:dyDescent="0.25">
      <c r="A15" s="12">
        <v>46447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5464"/>
  </sheetPr>
  <dimension ref="A1:G42"/>
  <sheetViews>
    <sheetView workbookViewId="0">
      <pane ySplit="4" topLeftCell="A23" activePane="bottomLeft" state="frozen"/>
      <selection pane="bottomLeft" activeCell="G9" sqref="G9"/>
    </sheetView>
  </sheetViews>
  <sheetFormatPr defaultRowHeight="15" x14ac:dyDescent="0.25"/>
  <cols>
    <col min="1" max="1" width="12" customWidth="1"/>
    <col min="2" max="2" width="31.5703125" bestFit="1" customWidth="1"/>
    <col min="3" max="5" width="16" customWidth="1"/>
    <col min="6" max="6" width="20" customWidth="1"/>
    <col min="7" max="7" width="24" customWidth="1"/>
  </cols>
  <sheetData>
    <row r="1" spans="1:7" ht="27.95" customHeight="1" x14ac:dyDescent="0.25">
      <c r="A1" s="48" t="s">
        <v>183</v>
      </c>
      <c r="B1" s="40"/>
      <c r="C1" s="40"/>
      <c r="D1" s="40"/>
      <c r="E1" s="40"/>
      <c r="F1" s="40"/>
      <c r="G1" s="40"/>
    </row>
    <row r="2" spans="1:7" ht="18" customHeight="1" x14ac:dyDescent="0.25">
      <c r="A2" s="39" t="s">
        <v>184</v>
      </c>
      <c r="B2" s="40"/>
      <c r="C2" s="40"/>
      <c r="D2" s="40"/>
      <c r="E2" s="40"/>
      <c r="F2" s="40"/>
      <c r="G2" s="40"/>
    </row>
    <row r="3" spans="1:7" ht="36" customHeight="1" x14ac:dyDescent="0.25">
      <c r="A3" s="7" t="s">
        <v>63</v>
      </c>
      <c r="B3" s="7" t="s">
        <v>185</v>
      </c>
      <c r="C3" s="7" t="s">
        <v>186</v>
      </c>
      <c r="D3" s="7" t="s">
        <v>187</v>
      </c>
      <c r="E3" s="7" t="s">
        <v>188</v>
      </c>
      <c r="F3" s="7" t="s">
        <v>189</v>
      </c>
      <c r="G3" s="7" t="s">
        <v>190</v>
      </c>
    </row>
    <row r="4" spans="1:7" ht="32.1" customHeight="1" x14ac:dyDescent="0.25">
      <c r="A4" s="11">
        <v>45748</v>
      </c>
      <c r="B4" s="4" t="s">
        <v>262</v>
      </c>
      <c r="C4" s="4">
        <v>17850118.460000001</v>
      </c>
      <c r="D4" s="4"/>
      <c r="E4" s="4"/>
      <c r="F4" s="4"/>
      <c r="G4" s="4" t="s">
        <v>191</v>
      </c>
    </row>
    <row r="5" spans="1:7" x14ac:dyDescent="0.25">
      <c r="A5" s="12">
        <v>45748</v>
      </c>
      <c r="B5" t="s">
        <v>263</v>
      </c>
      <c r="C5">
        <v>24661530.890000001</v>
      </c>
    </row>
    <row r="6" spans="1:7" x14ac:dyDescent="0.25">
      <c r="A6" s="12">
        <v>45748</v>
      </c>
      <c r="B6" t="s">
        <v>264</v>
      </c>
      <c r="C6">
        <v>79348580.739999995</v>
      </c>
    </row>
    <row r="7" spans="1:7" x14ac:dyDescent="0.25">
      <c r="A7" s="12">
        <v>45778</v>
      </c>
      <c r="B7" t="s">
        <v>262</v>
      </c>
      <c r="C7">
        <v>2066596.35</v>
      </c>
      <c r="D7">
        <v>16312677.550000001</v>
      </c>
      <c r="F7">
        <v>17850118.460000001</v>
      </c>
    </row>
    <row r="8" spans="1:7" x14ac:dyDescent="0.25">
      <c r="A8" s="12">
        <v>45778</v>
      </c>
      <c r="B8" t="s">
        <v>263</v>
      </c>
      <c r="C8">
        <v>30158962.899999999</v>
      </c>
      <c r="D8">
        <v>28857133.75</v>
      </c>
      <c r="F8">
        <v>24661530.890000001</v>
      </c>
    </row>
    <row r="9" spans="1:7" x14ac:dyDescent="0.25">
      <c r="A9" s="12">
        <v>45778</v>
      </c>
      <c r="B9" t="s">
        <v>264</v>
      </c>
      <c r="C9">
        <v>79256317.560000002</v>
      </c>
      <c r="D9">
        <v>82045899.170000002</v>
      </c>
      <c r="F9">
        <v>79348580.739999995</v>
      </c>
    </row>
    <row r="10" spans="1:7" x14ac:dyDescent="0.25">
      <c r="A10" s="12">
        <v>45809</v>
      </c>
      <c r="B10" t="s">
        <v>262</v>
      </c>
      <c r="C10">
        <v>14045495.880000001</v>
      </c>
      <c r="D10">
        <v>9931686.6300000008</v>
      </c>
      <c r="F10">
        <v>2066596.35</v>
      </c>
    </row>
    <row r="11" spans="1:7" x14ac:dyDescent="0.25">
      <c r="A11" s="12">
        <v>45809</v>
      </c>
      <c r="B11" t="s">
        <v>263</v>
      </c>
      <c r="C11">
        <v>30689648.66</v>
      </c>
      <c r="D11">
        <v>25309638.420000002</v>
      </c>
      <c r="F11">
        <v>30158962.899999999</v>
      </c>
    </row>
    <row r="12" spans="1:7" x14ac:dyDescent="0.25">
      <c r="A12" s="12">
        <v>45809</v>
      </c>
      <c r="B12" t="s">
        <v>264</v>
      </c>
      <c r="C12">
        <v>83901856.620000005</v>
      </c>
      <c r="D12">
        <v>77048147</v>
      </c>
      <c r="F12">
        <v>79256317.560000002</v>
      </c>
    </row>
    <row r="13" spans="1:7" x14ac:dyDescent="0.25">
      <c r="A13" s="12">
        <v>45839</v>
      </c>
      <c r="B13" t="s">
        <v>262</v>
      </c>
      <c r="C13">
        <v>17057169.390000001</v>
      </c>
      <c r="D13">
        <v>10036217.83</v>
      </c>
      <c r="F13">
        <v>14045495.880000001</v>
      </c>
    </row>
    <row r="14" spans="1:7" x14ac:dyDescent="0.25">
      <c r="A14" s="12">
        <v>45839</v>
      </c>
      <c r="B14" t="s">
        <v>263</v>
      </c>
      <c r="C14">
        <v>30545224.829999998</v>
      </c>
      <c r="D14">
        <v>27491812.890000001</v>
      </c>
      <c r="F14">
        <v>30689648.66</v>
      </c>
    </row>
    <row r="15" spans="1:7" x14ac:dyDescent="0.25">
      <c r="A15" s="12">
        <v>45839</v>
      </c>
      <c r="B15" t="s">
        <v>264</v>
      </c>
      <c r="C15">
        <v>88962739.189999998</v>
      </c>
      <c r="D15">
        <v>77466403.189999998</v>
      </c>
      <c r="F15">
        <v>83901856.620000005</v>
      </c>
    </row>
    <row r="16" spans="1:7" x14ac:dyDescent="0.25">
      <c r="A16" s="12">
        <v>45870</v>
      </c>
      <c r="B16" t="s">
        <v>262</v>
      </c>
      <c r="C16">
        <v>20267616.489999998</v>
      </c>
      <c r="D16">
        <v>15144317.02</v>
      </c>
      <c r="F16">
        <v>17057169.390000001</v>
      </c>
    </row>
    <row r="17" spans="1:6" x14ac:dyDescent="0.25">
      <c r="A17" s="12">
        <v>45870</v>
      </c>
      <c r="B17" t="s">
        <v>263</v>
      </c>
      <c r="C17">
        <v>28412199.100000001</v>
      </c>
      <c r="D17">
        <v>25741058.850000001</v>
      </c>
      <c r="F17">
        <v>30545224.829999998</v>
      </c>
    </row>
    <row r="18" spans="1:6" x14ac:dyDescent="0.25">
      <c r="A18" s="12">
        <v>45870</v>
      </c>
      <c r="B18" t="s">
        <v>264</v>
      </c>
      <c r="C18">
        <v>82185975.519999996</v>
      </c>
      <c r="D18">
        <v>79568870.730000004</v>
      </c>
      <c r="F18">
        <v>88962739.189999998</v>
      </c>
    </row>
    <row r="19" spans="1:6" x14ac:dyDescent="0.25">
      <c r="A19" s="12">
        <v>45901</v>
      </c>
      <c r="B19" t="s">
        <v>262</v>
      </c>
      <c r="C19">
        <v>18790020.489999998</v>
      </c>
      <c r="D19">
        <v>89152993.390000001</v>
      </c>
      <c r="F19">
        <v>20267616.489999998</v>
      </c>
    </row>
    <row r="20" spans="1:6" x14ac:dyDescent="0.25">
      <c r="A20" s="12">
        <v>45901</v>
      </c>
      <c r="B20" t="s">
        <v>263</v>
      </c>
      <c r="C20">
        <v>32320493.050000001</v>
      </c>
      <c r="D20">
        <v>28466369.489999998</v>
      </c>
      <c r="F20">
        <v>28412199.100000001</v>
      </c>
    </row>
    <row r="21" spans="1:6" x14ac:dyDescent="0.25">
      <c r="A21" s="12">
        <v>45901</v>
      </c>
      <c r="B21" t="s">
        <v>264</v>
      </c>
      <c r="C21">
        <v>84846832.390000001</v>
      </c>
      <c r="D21">
        <v>76843498.579999998</v>
      </c>
      <c r="F21">
        <v>82185975.519999996</v>
      </c>
    </row>
    <row r="22" spans="1:6" x14ac:dyDescent="0.25">
      <c r="A22" s="12">
        <v>45931</v>
      </c>
      <c r="B22" t="s">
        <v>262</v>
      </c>
      <c r="C22">
        <v>88569528.640000001</v>
      </c>
      <c r="D22">
        <v>36808494.689999998</v>
      </c>
      <c r="F22">
        <v>18790020.489999998</v>
      </c>
    </row>
    <row r="23" spans="1:6" x14ac:dyDescent="0.25">
      <c r="A23" s="12">
        <v>45931</v>
      </c>
      <c r="B23" t="s">
        <v>263</v>
      </c>
      <c r="C23">
        <v>30979551.32</v>
      </c>
      <c r="D23">
        <v>28166980.57</v>
      </c>
      <c r="F23">
        <v>32320493.050000001</v>
      </c>
    </row>
    <row r="24" spans="1:6" x14ac:dyDescent="0.25">
      <c r="A24" s="12">
        <v>45931</v>
      </c>
      <c r="B24" t="s">
        <v>264</v>
      </c>
      <c r="C24">
        <v>84900219.689999998</v>
      </c>
      <c r="D24">
        <v>81265425.219999999</v>
      </c>
      <c r="F24">
        <v>84846832.390000001</v>
      </c>
    </row>
    <row r="25" spans="1:6" x14ac:dyDescent="0.25">
      <c r="A25" s="12">
        <v>45962</v>
      </c>
      <c r="B25" t="s">
        <v>262</v>
      </c>
      <c r="C25">
        <v>19647436.620000001</v>
      </c>
      <c r="D25">
        <v>20864043.09</v>
      </c>
      <c r="F25">
        <v>88569528.640000001</v>
      </c>
    </row>
    <row r="26" spans="1:6" x14ac:dyDescent="0.25">
      <c r="A26" s="12">
        <v>45962</v>
      </c>
      <c r="B26" t="s">
        <v>263</v>
      </c>
      <c r="C26">
        <v>30525553.379999999</v>
      </c>
      <c r="D26">
        <v>23246969.399999999</v>
      </c>
      <c r="F26">
        <v>30979551.32</v>
      </c>
    </row>
    <row r="27" spans="1:6" x14ac:dyDescent="0.25">
      <c r="A27" s="12">
        <v>45962</v>
      </c>
      <c r="B27" t="s">
        <v>264</v>
      </c>
      <c r="C27">
        <v>86181657.439999998</v>
      </c>
      <c r="D27">
        <v>73383143.909999996</v>
      </c>
      <c r="F27">
        <v>84900219.689999998</v>
      </c>
    </row>
    <row r="28" spans="1:6" x14ac:dyDescent="0.25">
      <c r="A28" s="12">
        <v>45992</v>
      </c>
      <c r="B28" t="s">
        <v>262</v>
      </c>
      <c r="C28">
        <v>32549525.390000001</v>
      </c>
      <c r="D28">
        <v>3524217.32</v>
      </c>
      <c r="F28">
        <v>19647436.620000001</v>
      </c>
    </row>
    <row r="29" spans="1:6" x14ac:dyDescent="0.25">
      <c r="A29" s="12">
        <v>45992</v>
      </c>
      <c r="B29" t="s">
        <v>263</v>
      </c>
      <c r="C29">
        <v>27489474.789999999</v>
      </c>
      <c r="D29">
        <v>28384758.699999999</v>
      </c>
      <c r="F29">
        <v>30525553.379999999</v>
      </c>
    </row>
    <row r="30" spans="1:6" x14ac:dyDescent="0.25">
      <c r="A30" s="12">
        <v>45992</v>
      </c>
      <c r="B30" t="s">
        <v>264</v>
      </c>
      <c r="C30">
        <v>97016269.129999995</v>
      </c>
      <c r="D30">
        <v>79154788.859999999</v>
      </c>
      <c r="F30">
        <v>86181657.439999998</v>
      </c>
    </row>
    <row r="31" spans="1:6" x14ac:dyDescent="0.25">
      <c r="A31" s="12">
        <v>46023</v>
      </c>
      <c r="B31" t="s">
        <v>262</v>
      </c>
      <c r="C31">
        <v>26532644.07</v>
      </c>
      <c r="D31">
        <v>21176054.359999999</v>
      </c>
      <c r="F31">
        <v>32549525.390000001</v>
      </c>
    </row>
    <row r="32" spans="1:6" x14ac:dyDescent="0.25">
      <c r="A32" s="12">
        <v>46023</v>
      </c>
      <c r="B32" t="s">
        <v>263</v>
      </c>
      <c r="C32">
        <v>28529590.02</v>
      </c>
      <c r="D32">
        <v>29245043.210000001</v>
      </c>
      <c r="F32">
        <v>27489474.789999999</v>
      </c>
    </row>
    <row r="33" spans="1:6" x14ac:dyDescent="0.25">
      <c r="A33" s="12">
        <v>46023</v>
      </c>
      <c r="B33" t="s">
        <v>264</v>
      </c>
      <c r="C33">
        <v>75193263.420000002</v>
      </c>
      <c r="D33">
        <v>83046164.769999996</v>
      </c>
      <c r="F33">
        <v>97016269.129999995</v>
      </c>
    </row>
    <row r="34" spans="1:6" x14ac:dyDescent="0.25">
      <c r="A34" s="12">
        <v>46054</v>
      </c>
      <c r="B34" t="s">
        <v>262</v>
      </c>
      <c r="C34">
        <v>76739509.549999997</v>
      </c>
      <c r="D34">
        <v>61515826.219999999</v>
      </c>
      <c r="F34">
        <v>26532644.07</v>
      </c>
    </row>
    <row r="35" spans="1:6" x14ac:dyDescent="0.25">
      <c r="A35" s="12">
        <v>46054</v>
      </c>
      <c r="B35" t="s">
        <v>263</v>
      </c>
      <c r="C35">
        <v>20047689.100000001</v>
      </c>
      <c r="D35">
        <v>23482888.739999998</v>
      </c>
      <c r="F35">
        <v>28529590.02</v>
      </c>
    </row>
    <row r="36" spans="1:6" x14ac:dyDescent="0.25">
      <c r="A36" s="12">
        <v>46054</v>
      </c>
      <c r="B36" t="s">
        <v>264</v>
      </c>
      <c r="C36">
        <v>81869288.099999994</v>
      </c>
      <c r="D36">
        <v>73894414.739999995</v>
      </c>
      <c r="F36">
        <v>75193263.420000002</v>
      </c>
    </row>
    <row r="37" spans="1:6" x14ac:dyDescent="0.25">
      <c r="A37" s="12">
        <v>46082</v>
      </c>
      <c r="B37" t="s">
        <v>262</v>
      </c>
      <c r="C37">
        <v>22774094.170000002</v>
      </c>
      <c r="D37">
        <v>43473814.829999998</v>
      </c>
      <c r="F37">
        <v>76739509.549999997</v>
      </c>
    </row>
    <row r="38" spans="1:6" x14ac:dyDescent="0.25">
      <c r="A38" s="12">
        <v>46082</v>
      </c>
      <c r="B38" t="s">
        <v>263</v>
      </c>
      <c r="C38">
        <v>22046285.789999999</v>
      </c>
      <c r="D38">
        <v>27194505.539999999</v>
      </c>
      <c r="F38">
        <v>20047689.100000001</v>
      </c>
    </row>
    <row r="39" spans="1:6" x14ac:dyDescent="0.25">
      <c r="A39" s="12">
        <v>46082</v>
      </c>
      <c r="B39" t="s">
        <v>264</v>
      </c>
      <c r="C39">
        <v>85623111.299999997</v>
      </c>
      <c r="D39">
        <v>76367933.879999995</v>
      </c>
      <c r="F39">
        <v>81869288.099999994</v>
      </c>
    </row>
    <row r="40" spans="1:6" x14ac:dyDescent="0.25">
      <c r="A40" s="12">
        <v>46113</v>
      </c>
      <c r="B40" t="s">
        <v>262</v>
      </c>
      <c r="C40">
        <v>53100767.329999998</v>
      </c>
      <c r="D40">
        <v>23125919.989999998</v>
      </c>
      <c r="F40">
        <v>22774094.170000002</v>
      </c>
    </row>
    <row r="41" spans="1:6" x14ac:dyDescent="0.25">
      <c r="A41" s="12">
        <v>46113</v>
      </c>
      <c r="B41" t="s">
        <v>263</v>
      </c>
      <c r="C41">
        <v>20927894.440000001</v>
      </c>
      <c r="D41">
        <v>31679903.66</v>
      </c>
      <c r="F41">
        <v>22046285.789999999</v>
      </c>
    </row>
    <row r="42" spans="1:6" x14ac:dyDescent="0.25">
      <c r="A42" s="12">
        <v>46113</v>
      </c>
      <c r="B42" t="s">
        <v>264</v>
      </c>
      <c r="C42">
        <v>76634788.340000004</v>
      </c>
      <c r="D42">
        <v>81409360.709999993</v>
      </c>
      <c r="F42">
        <v>85623111.299999997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3B00"/>
  </sheetPr>
  <dimension ref="A1:D253"/>
  <sheetViews>
    <sheetView workbookViewId="0">
      <pane ySplit="4" topLeftCell="A194" activePane="bottomLeft" state="frozen"/>
      <selection pane="bottomLeft" activeCell="H13" sqref="H13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4" width="16" customWidth="1"/>
  </cols>
  <sheetData>
    <row r="1" spans="1:4" ht="27.95" customHeight="1" x14ac:dyDescent="0.25">
      <c r="A1" s="49" t="s">
        <v>192</v>
      </c>
      <c r="B1" s="40"/>
      <c r="C1" s="40"/>
      <c r="D1" s="40"/>
    </row>
    <row r="2" spans="1:4" ht="40.5" customHeight="1" x14ac:dyDescent="0.25">
      <c r="A2" s="39" t="s">
        <v>193</v>
      </c>
      <c r="B2" s="40"/>
      <c r="C2" s="40"/>
      <c r="D2" s="40"/>
    </row>
    <row r="3" spans="1:4" ht="36" customHeight="1" x14ac:dyDescent="0.25">
      <c r="A3" s="8" t="s">
        <v>63</v>
      </c>
      <c r="B3" s="8" t="s">
        <v>185</v>
      </c>
      <c r="C3" s="8" t="s">
        <v>194</v>
      </c>
      <c r="D3" s="8" t="s">
        <v>195</v>
      </c>
    </row>
    <row r="4" spans="1:4" x14ac:dyDescent="0.25">
      <c r="A4" t="s">
        <v>89</v>
      </c>
      <c r="B4" t="s">
        <v>196</v>
      </c>
      <c r="C4" t="s">
        <v>197</v>
      </c>
      <c r="D4">
        <v>18156284.100000001</v>
      </c>
    </row>
    <row r="5" spans="1:4" x14ac:dyDescent="0.25">
      <c r="A5" t="s">
        <v>89</v>
      </c>
      <c r="B5" t="s">
        <v>196</v>
      </c>
      <c r="C5" t="s">
        <v>198</v>
      </c>
      <c r="D5">
        <v>15967579.369999999</v>
      </c>
    </row>
    <row r="6" spans="1:4" x14ac:dyDescent="0.25">
      <c r="A6" t="s">
        <v>89</v>
      </c>
      <c r="B6" t="s">
        <v>196</v>
      </c>
      <c r="C6" t="s">
        <v>199</v>
      </c>
      <c r="D6">
        <v>22983511.199999999</v>
      </c>
    </row>
    <row r="7" spans="1:4" x14ac:dyDescent="0.25">
      <c r="A7" t="s">
        <v>89</v>
      </c>
      <c r="B7" t="s">
        <v>196</v>
      </c>
      <c r="C7" t="s">
        <v>200</v>
      </c>
      <c r="D7">
        <v>113602369.2</v>
      </c>
    </row>
    <row r="8" spans="1:4" x14ac:dyDescent="0.25">
      <c r="A8" t="s">
        <v>89</v>
      </c>
      <c r="B8" t="s">
        <v>196</v>
      </c>
      <c r="C8" t="s">
        <v>201</v>
      </c>
      <c r="D8">
        <v>902126027.55999994</v>
      </c>
    </row>
    <row r="9" spans="1:4" x14ac:dyDescent="0.25">
      <c r="A9" t="s">
        <v>89</v>
      </c>
      <c r="B9" t="s">
        <v>202</v>
      </c>
      <c r="C9" t="s">
        <v>197</v>
      </c>
      <c r="D9">
        <v>60323993.140000001</v>
      </c>
    </row>
    <row r="10" spans="1:4" x14ac:dyDescent="0.25">
      <c r="A10" t="s">
        <v>89</v>
      </c>
      <c r="B10" t="s">
        <v>202</v>
      </c>
      <c r="C10" t="s">
        <v>198</v>
      </c>
      <c r="D10">
        <v>18093696.030000001</v>
      </c>
    </row>
    <row r="11" spans="1:4" x14ac:dyDescent="0.25">
      <c r="A11" t="s">
        <v>89</v>
      </c>
      <c r="B11" t="s">
        <v>202</v>
      </c>
      <c r="C11" t="s">
        <v>199</v>
      </c>
      <c r="D11">
        <v>16029606.880000001</v>
      </c>
    </row>
    <row r="12" spans="1:4" x14ac:dyDescent="0.25">
      <c r="A12" t="s">
        <v>89</v>
      </c>
      <c r="B12" t="s">
        <v>202</v>
      </c>
      <c r="C12" t="s">
        <v>200</v>
      </c>
      <c r="D12">
        <v>75485629.379999995</v>
      </c>
    </row>
    <row r="13" spans="1:4" x14ac:dyDescent="0.25">
      <c r="A13" t="s">
        <v>89</v>
      </c>
      <c r="B13" t="s">
        <v>202</v>
      </c>
      <c r="C13" t="s">
        <v>201</v>
      </c>
      <c r="D13">
        <v>325644178.39999998</v>
      </c>
    </row>
    <row r="14" spans="1:4" x14ac:dyDescent="0.25">
      <c r="A14" t="s">
        <v>97</v>
      </c>
      <c r="B14" t="s">
        <v>196</v>
      </c>
      <c r="C14" t="s">
        <v>197</v>
      </c>
      <c r="D14">
        <v>16841596.84</v>
      </c>
    </row>
    <row r="15" spans="1:4" x14ac:dyDescent="0.25">
      <c r="A15" t="s">
        <v>97</v>
      </c>
      <c r="B15" t="s">
        <v>196</v>
      </c>
      <c r="C15" t="s">
        <v>198</v>
      </c>
      <c r="D15">
        <v>17333206.469999999</v>
      </c>
    </row>
    <row r="16" spans="1:4" x14ac:dyDescent="0.25">
      <c r="A16" t="s">
        <v>97</v>
      </c>
      <c r="B16" t="s">
        <v>196</v>
      </c>
      <c r="C16" t="s">
        <v>199</v>
      </c>
      <c r="D16">
        <v>17254438.91</v>
      </c>
    </row>
    <row r="17" spans="1:4" x14ac:dyDescent="0.25">
      <c r="A17" t="s">
        <v>97</v>
      </c>
      <c r="B17" t="s">
        <v>196</v>
      </c>
      <c r="C17" t="s">
        <v>200</v>
      </c>
      <c r="D17">
        <v>109412130.86</v>
      </c>
    </row>
    <row r="18" spans="1:4" x14ac:dyDescent="0.25">
      <c r="A18" t="s">
        <v>97</v>
      </c>
      <c r="B18" t="s">
        <v>196</v>
      </c>
      <c r="C18" t="s">
        <v>201</v>
      </c>
      <c r="D18">
        <v>907797513.22000003</v>
      </c>
    </row>
    <row r="19" spans="1:4" x14ac:dyDescent="0.25">
      <c r="A19" t="s">
        <v>97</v>
      </c>
      <c r="B19" t="s">
        <v>202</v>
      </c>
      <c r="C19" t="s">
        <v>197</v>
      </c>
      <c r="D19">
        <v>53008373.210000001</v>
      </c>
    </row>
    <row r="20" spans="1:4" x14ac:dyDescent="0.25">
      <c r="A20" t="s">
        <v>97</v>
      </c>
      <c r="B20" t="s">
        <v>202</v>
      </c>
      <c r="C20" t="s">
        <v>198</v>
      </c>
      <c r="D20">
        <v>25181186.059999999</v>
      </c>
    </row>
    <row r="21" spans="1:4" x14ac:dyDescent="0.25">
      <c r="A21" t="s">
        <v>97</v>
      </c>
      <c r="B21" t="s">
        <v>202</v>
      </c>
      <c r="C21" t="s">
        <v>199</v>
      </c>
      <c r="D21">
        <v>13465712.33</v>
      </c>
    </row>
    <row r="22" spans="1:4" x14ac:dyDescent="0.25">
      <c r="A22" t="s">
        <v>97</v>
      </c>
      <c r="B22" t="s">
        <v>202</v>
      </c>
      <c r="C22" t="s">
        <v>200</v>
      </c>
      <c r="D22">
        <v>77911159.319999993</v>
      </c>
    </row>
    <row r="23" spans="1:4" x14ac:dyDescent="0.25">
      <c r="A23" t="s">
        <v>97</v>
      </c>
      <c r="B23" t="s">
        <v>202</v>
      </c>
      <c r="C23" t="s">
        <v>201</v>
      </c>
      <c r="D23">
        <v>329510746.31</v>
      </c>
    </row>
    <row r="24" spans="1:4" x14ac:dyDescent="0.25">
      <c r="A24" t="s">
        <v>99</v>
      </c>
      <c r="B24" t="s">
        <v>196</v>
      </c>
      <c r="C24" t="s">
        <v>197</v>
      </c>
      <c r="D24">
        <v>19053504.640000001</v>
      </c>
    </row>
    <row r="25" spans="1:4" x14ac:dyDescent="0.25">
      <c r="A25" t="s">
        <v>99</v>
      </c>
      <c r="B25" t="s">
        <v>196</v>
      </c>
      <c r="C25" t="s">
        <v>198</v>
      </c>
      <c r="D25">
        <v>15960271.119999999</v>
      </c>
    </row>
    <row r="26" spans="1:4" x14ac:dyDescent="0.25">
      <c r="A26" t="s">
        <v>99</v>
      </c>
      <c r="B26" t="s">
        <v>196</v>
      </c>
      <c r="C26" t="s">
        <v>199</v>
      </c>
      <c r="D26">
        <v>16665148.460000001</v>
      </c>
    </row>
    <row r="27" spans="1:4" x14ac:dyDescent="0.25">
      <c r="A27" t="s">
        <v>99</v>
      </c>
      <c r="B27" t="s">
        <v>196</v>
      </c>
      <c r="C27" t="s">
        <v>200</v>
      </c>
      <c r="D27">
        <v>106479072.7</v>
      </c>
    </row>
    <row r="28" spans="1:4" x14ac:dyDescent="0.25">
      <c r="A28" t="s">
        <v>99</v>
      </c>
      <c r="B28" t="s">
        <v>196</v>
      </c>
      <c r="C28" t="s">
        <v>201</v>
      </c>
      <c r="D28">
        <v>916793983.76999998</v>
      </c>
    </row>
    <row r="29" spans="1:4" x14ac:dyDescent="0.25">
      <c r="A29" t="s">
        <v>99</v>
      </c>
      <c r="B29" t="s">
        <v>202</v>
      </c>
      <c r="C29" t="s">
        <v>197</v>
      </c>
      <c r="D29">
        <v>62541853.57</v>
      </c>
    </row>
    <row r="30" spans="1:4" x14ac:dyDescent="0.25">
      <c r="A30" t="s">
        <v>99</v>
      </c>
      <c r="B30" t="s">
        <v>202</v>
      </c>
      <c r="C30" t="s">
        <v>198</v>
      </c>
      <c r="D30">
        <v>19347252.859999999</v>
      </c>
    </row>
    <row r="31" spans="1:4" x14ac:dyDescent="0.25">
      <c r="A31" t="s">
        <v>99</v>
      </c>
      <c r="B31" t="s">
        <v>202</v>
      </c>
      <c r="C31" t="s">
        <v>199</v>
      </c>
      <c r="D31">
        <v>13637223.76</v>
      </c>
    </row>
    <row r="32" spans="1:4" x14ac:dyDescent="0.25">
      <c r="A32" t="s">
        <v>99</v>
      </c>
      <c r="B32" t="s">
        <v>202</v>
      </c>
      <c r="C32" t="s">
        <v>200</v>
      </c>
      <c r="D32">
        <v>68746290.760000005</v>
      </c>
    </row>
    <row r="33" spans="1:4" x14ac:dyDescent="0.25">
      <c r="A33" t="s">
        <v>99</v>
      </c>
      <c r="B33" t="s">
        <v>202</v>
      </c>
      <c r="C33" t="s">
        <v>201</v>
      </c>
      <c r="D33">
        <v>343268848</v>
      </c>
    </row>
    <row r="34" spans="1:4" x14ac:dyDescent="0.25">
      <c r="A34" t="s">
        <v>100</v>
      </c>
      <c r="B34" t="s">
        <v>196</v>
      </c>
      <c r="C34" t="s">
        <v>197</v>
      </c>
      <c r="D34">
        <v>16879541.82</v>
      </c>
    </row>
    <row r="35" spans="1:4" x14ac:dyDescent="0.25">
      <c r="A35" t="s">
        <v>100</v>
      </c>
      <c r="B35" t="s">
        <v>196</v>
      </c>
      <c r="C35" t="s">
        <v>198</v>
      </c>
      <c r="D35">
        <v>18555879.309999999</v>
      </c>
    </row>
    <row r="36" spans="1:4" x14ac:dyDescent="0.25">
      <c r="A36" t="s">
        <v>100</v>
      </c>
      <c r="B36" t="s">
        <v>196</v>
      </c>
      <c r="C36" t="s">
        <v>199</v>
      </c>
      <c r="D36">
        <v>17500610.390000001</v>
      </c>
    </row>
    <row r="37" spans="1:4" x14ac:dyDescent="0.25">
      <c r="A37" t="s">
        <v>100</v>
      </c>
      <c r="B37" t="s">
        <v>196</v>
      </c>
      <c r="C37" t="s">
        <v>200</v>
      </c>
      <c r="D37">
        <v>105125596.84</v>
      </c>
    </row>
    <row r="38" spans="1:4" x14ac:dyDescent="0.25">
      <c r="A38" t="s">
        <v>100</v>
      </c>
      <c r="B38" t="s">
        <v>196</v>
      </c>
      <c r="C38" t="s">
        <v>201</v>
      </c>
      <c r="D38">
        <v>933333029.02999997</v>
      </c>
    </row>
    <row r="39" spans="1:4" x14ac:dyDescent="0.25">
      <c r="A39" t="s">
        <v>100</v>
      </c>
      <c r="B39" t="s">
        <v>202</v>
      </c>
      <c r="C39" t="s">
        <v>197</v>
      </c>
      <c r="D39">
        <v>53101513.25</v>
      </c>
    </row>
    <row r="40" spans="1:4" x14ac:dyDescent="0.25">
      <c r="A40" t="s">
        <v>100</v>
      </c>
      <c r="B40" t="s">
        <v>202</v>
      </c>
      <c r="C40" t="s">
        <v>198</v>
      </c>
      <c r="D40">
        <v>25896070.879999999</v>
      </c>
    </row>
    <row r="41" spans="1:4" x14ac:dyDescent="0.25">
      <c r="A41" t="s">
        <v>100</v>
      </c>
      <c r="B41" t="s">
        <v>202</v>
      </c>
      <c r="C41" t="s">
        <v>199</v>
      </c>
      <c r="D41">
        <v>14942875.85</v>
      </c>
    </row>
    <row r="42" spans="1:4" x14ac:dyDescent="0.25">
      <c r="A42" t="s">
        <v>100</v>
      </c>
      <c r="B42" t="s">
        <v>202</v>
      </c>
      <c r="C42" t="s">
        <v>200</v>
      </c>
      <c r="D42">
        <v>67011149.729999997</v>
      </c>
    </row>
    <row r="43" spans="1:4" x14ac:dyDescent="0.25">
      <c r="A43" t="s">
        <v>100</v>
      </c>
      <c r="B43" t="s">
        <v>202</v>
      </c>
      <c r="C43" t="s">
        <v>201</v>
      </c>
      <c r="D43">
        <v>327316930.01999998</v>
      </c>
    </row>
    <row r="44" spans="1:4" x14ac:dyDescent="0.25">
      <c r="A44" t="s">
        <v>101</v>
      </c>
      <c r="B44" t="s">
        <v>196</v>
      </c>
      <c r="C44" t="s">
        <v>197</v>
      </c>
      <c r="D44">
        <v>16571108.800000001</v>
      </c>
    </row>
    <row r="45" spans="1:4" x14ac:dyDescent="0.25">
      <c r="A45" t="s">
        <v>101</v>
      </c>
      <c r="B45" t="s">
        <v>196</v>
      </c>
      <c r="C45" t="s">
        <v>198</v>
      </c>
      <c r="D45">
        <v>18743380.510000002</v>
      </c>
    </row>
    <row r="46" spans="1:4" x14ac:dyDescent="0.25">
      <c r="A46" t="s">
        <v>101</v>
      </c>
      <c r="B46" t="s">
        <v>196</v>
      </c>
      <c r="C46" t="s">
        <v>199</v>
      </c>
      <c r="D46">
        <v>17779019.010000002</v>
      </c>
    </row>
    <row r="47" spans="1:4" x14ac:dyDescent="0.25">
      <c r="A47" t="s">
        <v>101</v>
      </c>
      <c r="B47" t="s">
        <v>196</v>
      </c>
      <c r="C47" t="s">
        <v>200</v>
      </c>
      <c r="D47">
        <v>103881428.06999999</v>
      </c>
    </row>
    <row r="48" spans="1:4" x14ac:dyDescent="0.25">
      <c r="A48" t="s">
        <v>101</v>
      </c>
      <c r="B48" t="s">
        <v>196</v>
      </c>
      <c r="C48" t="s">
        <v>201</v>
      </c>
      <c r="D48">
        <v>941025953.22000003</v>
      </c>
    </row>
    <row r="49" spans="1:4" x14ac:dyDescent="0.25">
      <c r="A49" t="s">
        <v>101</v>
      </c>
      <c r="B49" t="s">
        <v>202</v>
      </c>
      <c r="C49" t="s">
        <v>197</v>
      </c>
      <c r="D49">
        <v>52618161.759999998</v>
      </c>
    </row>
    <row r="50" spans="1:4" x14ac:dyDescent="0.25">
      <c r="A50" t="s">
        <v>101</v>
      </c>
      <c r="B50" t="s">
        <v>202</v>
      </c>
      <c r="C50" t="s">
        <v>198</v>
      </c>
      <c r="D50">
        <v>26170662.949999999</v>
      </c>
    </row>
    <row r="51" spans="1:4" x14ac:dyDescent="0.25">
      <c r="A51" t="s">
        <v>101</v>
      </c>
      <c r="B51" t="s">
        <v>202</v>
      </c>
      <c r="C51" t="s">
        <v>199</v>
      </c>
      <c r="D51">
        <v>13908819.32</v>
      </c>
    </row>
    <row r="52" spans="1:4" x14ac:dyDescent="0.25">
      <c r="A52" t="s">
        <v>101</v>
      </c>
      <c r="B52" t="s">
        <v>202</v>
      </c>
      <c r="C52" t="s">
        <v>200</v>
      </c>
      <c r="D52">
        <v>67478212.370000005</v>
      </c>
    </row>
    <row r="53" spans="1:4" x14ac:dyDescent="0.25">
      <c r="A53" t="s">
        <v>101</v>
      </c>
      <c r="B53" t="s">
        <v>202</v>
      </c>
      <c r="C53" t="s">
        <v>201</v>
      </c>
      <c r="D53">
        <v>321072156.36000001</v>
      </c>
    </row>
    <row r="54" spans="1:4" x14ac:dyDescent="0.25">
      <c r="A54" t="s">
        <v>102</v>
      </c>
      <c r="B54" t="s">
        <v>196</v>
      </c>
      <c r="C54" t="s">
        <v>197</v>
      </c>
      <c r="D54">
        <v>19533420.239999998</v>
      </c>
    </row>
    <row r="55" spans="1:4" x14ac:dyDescent="0.25">
      <c r="A55" t="s">
        <v>102</v>
      </c>
      <c r="B55" t="s">
        <v>196</v>
      </c>
      <c r="C55" t="s">
        <v>198</v>
      </c>
      <c r="D55">
        <v>15410798.960000001</v>
      </c>
    </row>
    <row r="56" spans="1:4" x14ac:dyDescent="0.25">
      <c r="A56" t="s">
        <v>102</v>
      </c>
      <c r="B56" t="s">
        <v>196</v>
      </c>
      <c r="C56" t="s">
        <v>199</v>
      </c>
      <c r="D56">
        <v>17554456.260000002</v>
      </c>
    </row>
    <row r="57" spans="1:4" x14ac:dyDescent="0.25">
      <c r="A57" t="s">
        <v>102</v>
      </c>
      <c r="B57" t="s">
        <v>196</v>
      </c>
      <c r="C57" t="s">
        <v>200</v>
      </c>
      <c r="D57">
        <v>99679419.370000005</v>
      </c>
    </row>
    <row r="58" spans="1:4" x14ac:dyDescent="0.25">
      <c r="A58" t="s">
        <v>102</v>
      </c>
      <c r="B58" t="s">
        <v>196</v>
      </c>
      <c r="C58" t="s">
        <v>201</v>
      </c>
      <c r="D58">
        <v>941485673.83000004</v>
      </c>
    </row>
    <row r="59" spans="1:4" x14ac:dyDescent="0.25">
      <c r="A59" t="s">
        <v>102</v>
      </c>
      <c r="B59" t="s">
        <v>202</v>
      </c>
      <c r="C59" t="s">
        <v>197</v>
      </c>
      <c r="D59">
        <v>63378402.609999999</v>
      </c>
    </row>
    <row r="60" spans="1:4" x14ac:dyDescent="0.25">
      <c r="A60" t="s">
        <v>102</v>
      </c>
      <c r="B60" t="s">
        <v>202</v>
      </c>
      <c r="C60" t="s">
        <v>198</v>
      </c>
      <c r="D60">
        <v>17933674.739999998</v>
      </c>
    </row>
    <row r="61" spans="1:4" x14ac:dyDescent="0.25">
      <c r="A61" t="s">
        <v>102</v>
      </c>
      <c r="B61" t="s">
        <v>202</v>
      </c>
      <c r="C61" t="s">
        <v>199</v>
      </c>
      <c r="D61">
        <v>14014594.6</v>
      </c>
    </row>
    <row r="62" spans="1:4" x14ac:dyDescent="0.25">
      <c r="A62" t="s">
        <v>102</v>
      </c>
      <c r="B62" t="s">
        <v>202</v>
      </c>
      <c r="C62" t="s">
        <v>200</v>
      </c>
      <c r="D62">
        <v>68727229.159999996</v>
      </c>
    </row>
    <row r="63" spans="1:4" x14ac:dyDescent="0.25">
      <c r="A63" t="s">
        <v>102</v>
      </c>
      <c r="B63" t="s">
        <v>202</v>
      </c>
      <c r="C63" t="s">
        <v>201</v>
      </c>
      <c r="D63">
        <v>325570095.56</v>
      </c>
    </row>
    <row r="64" spans="1:4" x14ac:dyDescent="0.25">
      <c r="A64" t="s">
        <v>103</v>
      </c>
      <c r="B64" t="s">
        <v>196</v>
      </c>
      <c r="C64" t="s">
        <v>197</v>
      </c>
      <c r="D64">
        <v>17382974.719999999</v>
      </c>
    </row>
    <row r="65" spans="1:4" x14ac:dyDescent="0.25">
      <c r="A65" t="s">
        <v>103</v>
      </c>
      <c r="B65" t="s">
        <v>196</v>
      </c>
      <c r="C65" t="s">
        <v>198</v>
      </c>
      <c r="D65">
        <v>18357249.940000001</v>
      </c>
    </row>
    <row r="66" spans="1:4" x14ac:dyDescent="0.25">
      <c r="A66" t="s">
        <v>103</v>
      </c>
      <c r="B66" t="s">
        <v>196</v>
      </c>
      <c r="C66" t="s">
        <v>199</v>
      </c>
      <c r="D66">
        <v>16293717.560000001</v>
      </c>
    </row>
    <row r="67" spans="1:4" x14ac:dyDescent="0.25">
      <c r="A67" t="s">
        <v>103</v>
      </c>
      <c r="B67" t="s">
        <v>196</v>
      </c>
      <c r="C67" t="s">
        <v>200</v>
      </c>
      <c r="D67">
        <v>96940126.810000002</v>
      </c>
    </row>
    <row r="68" spans="1:4" x14ac:dyDescent="0.25">
      <c r="A68" t="s">
        <v>103</v>
      </c>
      <c r="B68" t="s">
        <v>196</v>
      </c>
      <c r="C68" t="s">
        <v>201</v>
      </c>
      <c r="D68">
        <v>934934696.74000001</v>
      </c>
    </row>
    <row r="69" spans="1:4" x14ac:dyDescent="0.25">
      <c r="A69" t="s">
        <v>103</v>
      </c>
      <c r="B69" t="s">
        <v>202</v>
      </c>
      <c r="C69" t="s">
        <v>197</v>
      </c>
      <c r="D69">
        <v>54547546.159999996</v>
      </c>
    </row>
    <row r="70" spans="1:4" x14ac:dyDescent="0.25">
      <c r="A70" t="s">
        <v>103</v>
      </c>
      <c r="B70" t="s">
        <v>202</v>
      </c>
      <c r="C70" t="s">
        <v>198</v>
      </c>
      <c r="D70">
        <v>27523088.309999999</v>
      </c>
    </row>
    <row r="71" spans="1:4" x14ac:dyDescent="0.25">
      <c r="A71" t="s">
        <v>103</v>
      </c>
      <c r="B71" t="s">
        <v>202</v>
      </c>
      <c r="C71" t="s">
        <v>199</v>
      </c>
      <c r="D71">
        <v>12492582.560000001</v>
      </c>
    </row>
    <row r="72" spans="1:4" x14ac:dyDescent="0.25">
      <c r="A72" t="s">
        <v>103</v>
      </c>
      <c r="B72" t="s">
        <v>202</v>
      </c>
      <c r="C72" t="s">
        <v>200</v>
      </c>
      <c r="D72">
        <v>67788452.549999997</v>
      </c>
    </row>
    <row r="73" spans="1:4" x14ac:dyDescent="0.25">
      <c r="A73" t="s">
        <v>103</v>
      </c>
      <c r="B73" t="s">
        <v>202</v>
      </c>
      <c r="C73" t="s">
        <v>201</v>
      </c>
      <c r="D73">
        <v>329913212.37</v>
      </c>
    </row>
    <row r="74" spans="1:4" x14ac:dyDescent="0.25">
      <c r="A74" t="s">
        <v>104</v>
      </c>
      <c r="B74" t="s">
        <v>196</v>
      </c>
      <c r="C74" t="s">
        <v>197</v>
      </c>
      <c r="D74">
        <v>20294747.109999999</v>
      </c>
    </row>
    <row r="75" spans="1:4" x14ac:dyDescent="0.25">
      <c r="A75" t="s">
        <v>104</v>
      </c>
      <c r="B75" t="s">
        <v>196</v>
      </c>
      <c r="C75" t="s">
        <v>198</v>
      </c>
      <c r="D75">
        <v>16943067.309999999</v>
      </c>
    </row>
    <row r="76" spans="1:4" x14ac:dyDescent="0.25">
      <c r="A76" t="s">
        <v>104</v>
      </c>
      <c r="B76" t="s">
        <v>196</v>
      </c>
      <c r="C76" t="s">
        <v>199</v>
      </c>
      <c r="D76">
        <v>17870797.98</v>
      </c>
    </row>
    <row r="77" spans="1:4" x14ac:dyDescent="0.25">
      <c r="A77" t="s">
        <v>104</v>
      </c>
      <c r="B77" t="s">
        <v>196</v>
      </c>
      <c r="C77" t="s">
        <v>200</v>
      </c>
      <c r="D77">
        <v>100900250.40000001</v>
      </c>
    </row>
    <row r="78" spans="1:4" x14ac:dyDescent="0.25">
      <c r="A78" t="s">
        <v>104</v>
      </c>
      <c r="B78" t="s">
        <v>196</v>
      </c>
      <c r="C78" t="s">
        <v>201</v>
      </c>
      <c r="D78">
        <v>941904376.02999997</v>
      </c>
    </row>
    <row r="79" spans="1:4" x14ac:dyDescent="0.25">
      <c r="A79" t="s">
        <v>104</v>
      </c>
      <c r="B79" t="s">
        <v>202</v>
      </c>
      <c r="C79" t="s">
        <v>197</v>
      </c>
      <c r="D79">
        <v>60852500.159999996</v>
      </c>
    </row>
    <row r="80" spans="1:4" x14ac:dyDescent="0.25">
      <c r="A80" t="s">
        <v>104</v>
      </c>
      <c r="B80" t="s">
        <v>202</v>
      </c>
      <c r="C80" t="s">
        <v>198</v>
      </c>
      <c r="D80">
        <v>21401534.27</v>
      </c>
    </row>
    <row r="81" spans="1:4" x14ac:dyDescent="0.25">
      <c r="A81" t="s">
        <v>104</v>
      </c>
      <c r="B81" t="s">
        <v>202</v>
      </c>
      <c r="C81" t="s">
        <v>199</v>
      </c>
      <c r="D81">
        <v>17254656.260000002</v>
      </c>
    </row>
    <row r="82" spans="1:4" x14ac:dyDescent="0.25">
      <c r="A82" t="s">
        <v>104</v>
      </c>
      <c r="B82" t="s">
        <v>202</v>
      </c>
      <c r="C82" t="s">
        <v>200</v>
      </c>
      <c r="D82">
        <v>68161957.170000002</v>
      </c>
    </row>
    <row r="83" spans="1:4" x14ac:dyDescent="0.25">
      <c r="A83" t="s">
        <v>104</v>
      </c>
      <c r="B83" t="s">
        <v>202</v>
      </c>
      <c r="C83" t="s">
        <v>201</v>
      </c>
      <c r="D83">
        <v>334382933.74000001</v>
      </c>
    </row>
    <row r="84" spans="1:4" x14ac:dyDescent="0.25">
      <c r="A84" t="s">
        <v>105</v>
      </c>
      <c r="B84" t="s">
        <v>196</v>
      </c>
      <c r="C84" t="s">
        <v>197</v>
      </c>
      <c r="D84">
        <v>16045640.300000001</v>
      </c>
    </row>
    <row r="85" spans="1:4" x14ac:dyDescent="0.25">
      <c r="A85" t="s">
        <v>105</v>
      </c>
      <c r="B85" t="s">
        <v>196</v>
      </c>
      <c r="C85" t="s">
        <v>198</v>
      </c>
      <c r="D85">
        <v>19721349.600000001</v>
      </c>
    </row>
    <row r="86" spans="1:4" x14ac:dyDescent="0.25">
      <c r="A86" t="s">
        <v>105</v>
      </c>
      <c r="B86" t="s">
        <v>196</v>
      </c>
      <c r="C86" t="s">
        <v>199</v>
      </c>
      <c r="D86">
        <v>18351658.379999999</v>
      </c>
    </row>
    <row r="87" spans="1:4" x14ac:dyDescent="0.25">
      <c r="A87" t="s">
        <v>105</v>
      </c>
      <c r="B87" t="s">
        <v>196</v>
      </c>
      <c r="C87" t="s">
        <v>200</v>
      </c>
      <c r="D87">
        <v>97854417.420000002</v>
      </c>
    </row>
    <row r="88" spans="1:4" x14ac:dyDescent="0.25">
      <c r="A88" t="s">
        <v>105</v>
      </c>
      <c r="B88" t="s">
        <v>196</v>
      </c>
      <c r="C88" t="s">
        <v>201</v>
      </c>
      <c r="D88">
        <v>925894211.71000004</v>
      </c>
    </row>
    <row r="89" spans="1:4" x14ac:dyDescent="0.25">
      <c r="A89" t="s">
        <v>105</v>
      </c>
      <c r="B89" t="s">
        <v>202</v>
      </c>
      <c r="C89" t="s">
        <v>197</v>
      </c>
      <c r="D89">
        <v>53118740.119999997</v>
      </c>
    </row>
    <row r="90" spans="1:4" x14ac:dyDescent="0.25">
      <c r="A90" t="s">
        <v>105</v>
      </c>
      <c r="B90" t="s">
        <v>202</v>
      </c>
      <c r="C90" t="s">
        <v>198</v>
      </c>
      <c r="D90">
        <v>26876153.760000002</v>
      </c>
    </row>
    <row r="91" spans="1:4" x14ac:dyDescent="0.25">
      <c r="A91" t="s">
        <v>105</v>
      </c>
      <c r="B91" t="s">
        <v>202</v>
      </c>
      <c r="C91" t="s">
        <v>199</v>
      </c>
      <c r="D91">
        <v>17094399.109999999</v>
      </c>
    </row>
    <row r="92" spans="1:4" x14ac:dyDescent="0.25">
      <c r="A92" t="s">
        <v>105</v>
      </c>
      <c r="B92" t="s">
        <v>202</v>
      </c>
      <c r="C92" t="s">
        <v>200</v>
      </c>
      <c r="D92">
        <v>72793692.670000002</v>
      </c>
    </row>
    <row r="93" spans="1:4" x14ac:dyDescent="0.25">
      <c r="A93" t="s">
        <v>105</v>
      </c>
      <c r="B93" t="s">
        <v>202</v>
      </c>
      <c r="C93" t="s">
        <v>201</v>
      </c>
      <c r="D93">
        <v>338162088.76999998</v>
      </c>
    </row>
    <row r="94" spans="1:4" x14ac:dyDescent="0.25">
      <c r="A94" t="s">
        <v>106</v>
      </c>
      <c r="B94" t="s">
        <v>196</v>
      </c>
      <c r="C94" t="s">
        <v>197</v>
      </c>
      <c r="D94">
        <v>16661000.859999999</v>
      </c>
    </row>
    <row r="95" spans="1:4" x14ac:dyDescent="0.25">
      <c r="A95" t="s">
        <v>106</v>
      </c>
      <c r="B95" t="s">
        <v>196</v>
      </c>
      <c r="C95" t="s">
        <v>198</v>
      </c>
      <c r="D95">
        <v>17792492.32</v>
      </c>
    </row>
    <row r="96" spans="1:4" x14ac:dyDescent="0.25">
      <c r="A96" t="s">
        <v>106</v>
      </c>
      <c r="B96" t="s">
        <v>196</v>
      </c>
      <c r="C96" t="s">
        <v>199</v>
      </c>
      <c r="D96">
        <v>18549530.93</v>
      </c>
    </row>
    <row r="97" spans="1:4" x14ac:dyDescent="0.25">
      <c r="A97" t="s">
        <v>106</v>
      </c>
      <c r="B97" t="s">
        <v>196</v>
      </c>
      <c r="C97" t="s">
        <v>200</v>
      </c>
      <c r="D97">
        <v>88405335.019999996</v>
      </c>
    </row>
    <row r="98" spans="1:4" x14ac:dyDescent="0.25">
      <c r="A98" t="s">
        <v>106</v>
      </c>
      <c r="B98" t="s">
        <v>196</v>
      </c>
      <c r="C98" t="s">
        <v>201</v>
      </c>
      <c r="D98">
        <v>929602894.38</v>
      </c>
    </row>
    <row r="99" spans="1:4" x14ac:dyDescent="0.25">
      <c r="A99" t="s">
        <v>106</v>
      </c>
      <c r="B99" t="s">
        <v>202</v>
      </c>
      <c r="C99" t="s">
        <v>197</v>
      </c>
      <c r="D99">
        <v>52487894.109999999</v>
      </c>
    </row>
    <row r="100" spans="1:4" x14ac:dyDescent="0.25">
      <c r="A100" t="s">
        <v>106</v>
      </c>
      <c r="B100" t="s">
        <v>202</v>
      </c>
      <c r="C100" t="s">
        <v>198</v>
      </c>
      <c r="D100">
        <v>27478667.440000001</v>
      </c>
    </row>
    <row r="101" spans="1:4" x14ac:dyDescent="0.25">
      <c r="A101" t="s">
        <v>106</v>
      </c>
      <c r="B101" t="s">
        <v>202</v>
      </c>
      <c r="C101" t="s">
        <v>199</v>
      </c>
      <c r="D101">
        <v>15691401.08</v>
      </c>
    </row>
    <row r="102" spans="1:4" x14ac:dyDescent="0.25">
      <c r="A102" t="s">
        <v>106</v>
      </c>
      <c r="B102" t="s">
        <v>202</v>
      </c>
      <c r="C102" t="s">
        <v>200</v>
      </c>
      <c r="D102">
        <v>75309705.390000001</v>
      </c>
    </row>
    <row r="103" spans="1:4" x14ac:dyDescent="0.25">
      <c r="A103" t="s">
        <v>106</v>
      </c>
      <c r="B103" t="s">
        <v>202</v>
      </c>
      <c r="C103" t="s">
        <v>201</v>
      </c>
      <c r="D103">
        <v>342155655.04000002</v>
      </c>
    </row>
    <row r="104" spans="1:4" x14ac:dyDescent="0.25">
      <c r="A104" t="s">
        <v>107</v>
      </c>
      <c r="B104" t="s">
        <v>196</v>
      </c>
      <c r="C104" t="s">
        <v>197</v>
      </c>
      <c r="D104">
        <v>16071054.560000001</v>
      </c>
    </row>
    <row r="105" spans="1:4" x14ac:dyDescent="0.25">
      <c r="A105" t="s">
        <v>107</v>
      </c>
      <c r="B105" t="s">
        <v>196</v>
      </c>
      <c r="C105" t="s">
        <v>198</v>
      </c>
      <c r="D105">
        <v>18735431.699999999</v>
      </c>
    </row>
    <row r="106" spans="1:4" x14ac:dyDescent="0.25">
      <c r="A106" t="s">
        <v>107</v>
      </c>
      <c r="B106" t="s">
        <v>196</v>
      </c>
      <c r="C106" t="s">
        <v>199</v>
      </c>
      <c r="D106">
        <v>13626164.1</v>
      </c>
    </row>
    <row r="107" spans="1:4" x14ac:dyDescent="0.25">
      <c r="A107" t="s">
        <v>107</v>
      </c>
      <c r="B107" t="s">
        <v>196</v>
      </c>
      <c r="C107" t="s">
        <v>200</v>
      </c>
      <c r="D107">
        <v>74113921.180000007</v>
      </c>
    </row>
    <row r="108" spans="1:4" x14ac:dyDescent="0.25">
      <c r="A108" t="s">
        <v>107</v>
      </c>
      <c r="B108" t="s">
        <v>196</v>
      </c>
      <c r="C108" t="s">
        <v>201</v>
      </c>
      <c r="D108">
        <v>934226893.10000002</v>
      </c>
    </row>
    <row r="109" spans="1:4" x14ac:dyDescent="0.25">
      <c r="A109" t="s">
        <v>107</v>
      </c>
      <c r="B109" t="s">
        <v>202</v>
      </c>
      <c r="C109" t="s">
        <v>197</v>
      </c>
      <c r="D109">
        <v>60191503.509999998</v>
      </c>
    </row>
    <row r="110" spans="1:4" x14ac:dyDescent="0.25">
      <c r="A110" t="s">
        <v>107</v>
      </c>
      <c r="B110" t="s">
        <v>202</v>
      </c>
      <c r="C110" t="s">
        <v>198</v>
      </c>
      <c r="D110">
        <v>21262024.559999999</v>
      </c>
    </row>
    <row r="111" spans="1:4" x14ac:dyDescent="0.25">
      <c r="A111" t="s">
        <v>107</v>
      </c>
      <c r="B111" t="s">
        <v>202</v>
      </c>
      <c r="C111" t="s">
        <v>199</v>
      </c>
      <c r="D111">
        <v>14533314.15</v>
      </c>
    </row>
    <row r="112" spans="1:4" x14ac:dyDescent="0.25">
      <c r="A112" t="s">
        <v>107</v>
      </c>
      <c r="B112" t="s">
        <v>202</v>
      </c>
      <c r="C112" t="s">
        <v>200</v>
      </c>
      <c r="D112">
        <v>74504393.159999996</v>
      </c>
    </row>
    <row r="113" spans="1:4" x14ac:dyDescent="0.25">
      <c r="A113" t="s">
        <v>107</v>
      </c>
      <c r="B113" t="s">
        <v>202</v>
      </c>
      <c r="C113" t="s">
        <v>201</v>
      </c>
      <c r="D113">
        <v>343482799.42000002</v>
      </c>
    </row>
    <row r="114" spans="1:4" x14ac:dyDescent="0.25">
      <c r="A114" t="s">
        <v>108</v>
      </c>
      <c r="B114" t="s">
        <v>196</v>
      </c>
      <c r="C114" t="s">
        <v>197</v>
      </c>
      <c r="D114">
        <v>14032087.82</v>
      </c>
    </row>
    <row r="115" spans="1:4" x14ac:dyDescent="0.25">
      <c r="A115" t="s">
        <v>108</v>
      </c>
      <c r="B115" t="s">
        <v>196</v>
      </c>
      <c r="C115" t="s">
        <v>198</v>
      </c>
      <c r="D115">
        <v>18104428.530000001</v>
      </c>
    </row>
    <row r="116" spans="1:4" x14ac:dyDescent="0.25">
      <c r="A116" t="s">
        <v>108</v>
      </c>
      <c r="B116" t="s">
        <v>196</v>
      </c>
      <c r="C116" t="s">
        <v>199</v>
      </c>
      <c r="D116">
        <v>17829680.23</v>
      </c>
    </row>
    <row r="117" spans="1:4" x14ac:dyDescent="0.25">
      <c r="A117" t="s">
        <v>108</v>
      </c>
      <c r="B117" t="s">
        <v>196</v>
      </c>
      <c r="C117" t="s">
        <v>200</v>
      </c>
      <c r="D117">
        <v>77030557.719999999</v>
      </c>
    </row>
    <row r="118" spans="1:4" x14ac:dyDescent="0.25">
      <c r="A118" t="s">
        <v>108</v>
      </c>
      <c r="B118" t="s">
        <v>196</v>
      </c>
      <c r="C118" t="s">
        <v>201</v>
      </c>
      <c r="D118">
        <v>935319723.04999995</v>
      </c>
    </row>
    <row r="119" spans="1:4" x14ac:dyDescent="0.25">
      <c r="A119" t="s">
        <v>108</v>
      </c>
      <c r="B119" t="s">
        <v>202</v>
      </c>
      <c r="C119" t="s">
        <v>197</v>
      </c>
      <c r="D119">
        <v>51267387.259999998</v>
      </c>
    </row>
    <row r="120" spans="1:4" x14ac:dyDescent="0.25">
      <c r="A120" t="s">
        <v>108</v>
      </c>
      <c r="B120" t="s">
        <v>202</v>
      </c>
      <c r="C120" t="s">
        <v>198</v>
      </c>
      <c r="D120">
        <v>28193486.359999999</v>
      </c>
    </row>
    <row r="121" spans="1:4" x14ac:dyDescent="0.25">
      <c r="A121" t="s">
        <v>108</v>
      </c>
      <c r="B121" t="s">
        <v>202</v>
      </c>
      <c r="C121" t="s">
        <v>199</v>
      </c>
      <c r="D121">
        <v>13456862.279999999</v>
      </c>
    </row>
    <row r="122" spans="1:4" x14ac:dyDescent="0.25">
      <c r="A122" t="s">
        <v>108</v>
      </c>
      <c r="B122" t="s">
        <v>202</v>
      </c>
      <c r="C122" t="s">
        <v>200</v>
      </c>
      <c r="D122">
        <v>75201243.189999998</v>
      </c>
    </row>
    <row r="123" spans="1:4" x14ac:dyDescent="0.25">
      <c r="A123" t="s">
        <v>108</v>
      </c>
      <c r="B123" t="s">
        <v>202</v>
      </c>
      <c r="C123" t="s">
        <v>201</v>
      </c>
      <c r="D123">
        <v>346774293.13999999</v>
      </c>
    </row>
    <row r="124" spans="1:4" x14ac:dyDescent="0.25">
      <c r="A124" t="s">
        <v>109</v>
      </c>
      <c r="B124" t="s">
        <v>196</v>
      </c>
      <c r="C124" t="s">
        <v>197</v>
      </c>
      <c r="D124">
        <v>18891269.59</v>
      </c>
    </row>
    <row r="125" spans="1:4" x14ac:dyDescent="0.25">
      <c r="A125" t="s">
        <v>109</v>
      </c>
      <c r="B125" t="s">
        <v>196</v>
      </c>
      <c r="C125" t="s">
        <v>198</v>
      </c>
      <c r="D125">
        <v>13113192.83</v>
      </c>
    </row>
    <row r="126" spans="1:4" x14ac:dyDescent="0.25">
      <c r="A126" t="s">
        <v>109</v>
      </c>
      <c r="B126" t="s">
        <v>196</v>
      </c>
      <c r="C126" t="s">
        <v>199</v>
      </c>
      <c r="D126">
        <v>16479161.92</v>
      </c>
    </row>
    <row r="127" spans="1:4" x14ac:dyDescent="0.25">
      <c r="A127" t="s">
        <v>109</v>
      </c>
      <c r="B127" t="s">
        <v>196</v>
      </c>
      <c r="C127" t="s">
        <v>200</v>
      </c>
      <c r="D127">
        <v>74601295.400000006</v>
      </c>
    </row>
    <row r="128" spans="1:4" x14ac:dyDescent="0.25">
      <c r="A128" t="s">
        <v>109</v>
      </c>
      <c r="B128" t="s">
        <v>196</v>
      </c>
      <c r="C128" t="s">
        <v>201</v>
      </c>
      <c r="D128">
        <v>934682568.73000002</v>
      </c>
    </row>
    <row r="129" spans="1:4" x14ac:dyDescent="0.25">
      <c r="A129" t="s">
        <v>109</v>
      </c>
      <c r="B129" t="s">
        <v>202</v>
      </c>
      <c r="C129" t="s">
        <v>197</v>
      </c>
      <c r="D129">
        <v>59276631.979999997</v>
      </c>
    </row>
    <row r="130" spans="1:4" x14ac:dyDescent="0.25">
      <c r="A130" t="s">
        <v>109</v>
      </c>
      <c r="B130" t="s">
        <v>202</v>
      </c>
      <c r="C130" t="s">
        <v>198</v>
      </c>
      <c r="D130">
        <v>17966234.699999999</v>
      </c>
    </row>
    <row r="131" spans="1:4" x14ac:dyDescent="0.25">
      <c r="A131" t="s">
        <v>109</v>
      </c>
      <c r="B131" t="s">
        <v>202</v>
      </c>
      <c r="C131" t="s">
        <v>199</v>
      </c>
      <c r="D131">
        <v>15472221.17</v>
      </c>
    </row>
    <row r="132" spans="1:4" x14ac:dyDescent="0.25">
      <c r="A132" t="s">
        <v>109</v>
      </c>
      <c r="B132" t="s">
        <v>202</v>
      </c>
      <c r="C132" t="s">
        <v>200</v>
      </c>
      <c r="D132">
        <v>76261036.950000003</v>
      </c>
    </row>
    <row r="133" spans="1:4" x14ac:dyDescent="0.25">
      <c r="A133" t="s">
        <v>109</v>
      </c>
      <c r="B133" t="s">
        <v>202</v>
      </c>
      <c r="C133" t="s">
        <v>201</v>
      </c>
      <c r="D133">
        <v>348048231.54000002</v>
      </c>
    </row>
    <row r="134" spans="1:4" x14ac:dyDescent="0.25">
      <c r="A134" t="s">
        <v>110</v>
      </c>
      <c r="B134" t="s">
        <v>196</v>
      </c>
      <c r="C134" t="s">
        <v>197</v>
      </c>
      <c r="D134">
        <v>13601877.720000001</v>
      </c>
    </row>
    <row r="135" spans="1:4" x14ac:dyDescent="0.25">
      <c r="A135" t="s">
        <v>110</v>
      </c>
      <c r="B135" t="s">
        <v>196</v>
      </c>
      <c r="C135" t="s">
        <v>198</v>
      </c>
      <c r="D135">
        <v>18664866.27</v>
      </c>
    </row>
    <row r="136" spans="1:4" x14ac:dyDescent="0.25">
      <c r="A136" t="s">
        <v>110</v>
      </c>
      <c r="B136" t="s">
        <v>196</v>
      </c>
      <c r="C136" t="s">
        <v>199</v>
      </c>
      <c r="D136">
        <v>14020639.550000001</v>
      </c>
    </row>
    <row r="137" spans="1:4" x14ac:dyDescent="0.25">
      <c r="A137" t="s">
        <v>110</v>
      </c>
      <c r="B137" t="s">
        <v>196</v>
      </c>
      <c r="C137" t="s">
        <v>200</v>
      </c>
      <c r="D137">
        <v>63340401.219999999</v>
      </c>
    </row>
    <row r="138" spans="1:4" x14ac:dyDescent="0.25">
      <c r="A138" t="s">
        <v>110</v>
      </c>
      <c r="B138" t="s">
        <v>196</v>
      </c>
      <c r="C138" t="s">
        <v>201</v>
      </c>
      <c r="D138">
        <v>936236191.73000002</v>
      </c>
    </row>
    <row r="139" spans="1:4" x14ac:dyDescent="0.25">
      <c r="A139" t="s">
        <v>110</v>
      </c>
      <c r="B139" t="s">
        <v>202</v>
      </c>
      <c r="C139" t="s">
        <v>197</v>
      </c>
      <c r="D139">
        <v>51528698.299999997</v>
      </c>
    </row>
    <row r="140" spans="1:4" x14ac:dyDescent="0.25">
      <c r="A140" t="s">
        <v>110</v>
      </c>
      <c r="B140" t="s">
        <v>202</v>
      </c>
      <c r="C140" t="s">
        <v>198</v>
      </c>
      <c r="D140">
        <v>23682677.300000001</v>
      </c>
    </row>
    <row r="141" spans="1:4" x14ac:dyDescent="0.25">
      <c r="A141" t="s">
        <v>110</v>
      </c>
      <c r="B141" t="s">
        <v>202</v>
      </c>
      <c r="C141" t="s">
        <v>199</v>
      </c>
      <c r="D141">
        <v>13207365.66</v>
      </c>
    </row>
    <row r="142" spans="1:4" x14ac:dyDescent="0.25">
      <c r="A142" t="s">
        <v>110</v>
      </c>
      <c r="B142" t="s">
        <v>202</v>
      </c>
      <c r="C142" t="s">
        <v>200</v>
      </c>
      <c r="D142">
        <v>77287896.859999999</v>
      </c>
    </row>
    <row r="143" spans="1:4" x14ac:dyDescent="0.25">
      <c r="A143" t="s">
        <v>110</v>
      </c>
      <c r="B143" t="s">
        <v>202</v>
      </c>
      <c r="C143" t="s">
        <v>201</v>
      </c>
      <c r="D143">
        <v>351969787.42000002</v>
      </c>
    </row>
    <row r="144" spans="1:4" x14ac:dyDescent="0.25">
      <c r="A144" t="s">
        <v>111</v>
      </c>
      <c r="B144" t="s">
        <v>196</v>
      </c>
      <c r="C144" t="s">
        <v>197</v>
      </c>
      <c r="D144">
        <v>17971763.91</v>
      </c>
    </row>
    <row r="145" spans="1:4" x14ac:dyDescent="0.25">
      <c r="A145" t="s">
        <v>111</v>
      </c>
      <c r="B145" t="s">
        <v>196</v>
      </c>
      <c r="C145" t="s">
        <v>198</v>
      </c>
      <c r="D145">
        <v>13106708.59</v>
      </c>
    </row>
    <row r="146" spans="1:4" x14ac:dyDescent="0.25">
      <c r="A146" t="s">
        <v>111</v>
      </c>
      <c r="B146" t="s">
        <v>196</v>
      </c>
      <c r="C146" t="s">
        <v>199</v>
      </c>
      <c r="D146">
        <v>17863996.780000001</v>
      </c>
    </row>
    <row r="147" spans="1:4" x14ac:dyDescent="0.25">
      <c r="A147" t="s">
        <v>111</v>
      </c>
      <c r="B147" t="s">
        <v>196</v>
      </c>
      <c r="C147" t="s">
        <v>200</v>
      </c>
      <c r="D147">
        <v>66961941.32</v>
      </c>
    </row>
    <row r="148" spans="1:4" x14ac:dyDescent="0.25">
      <c r="A148" t="s">
        <v>111</v>
      </c>
      <c r="B148" t="s">
        <v>196</v>
      </c>
      <c r="C148" t="s">
        <v>201</v>
      </c>
      <c r="D148">
        <v>934694163.34000003</v>
      </c>
    </row>
    <row r="149" spans="1:4" x14ac:dyDescent="0.25">
      <c r="A149" t="s">
        <v>111</v>
      </c>
      <c r="B149" t="s">
        <v>202</v>
      </c>
      <c r="C149" t="s">
        <v>197</v>
      </c>
      <c r="D149">
        <v>61836286.920000002</v>
      </c>
    </row>
    <row r="150" spans="1:4" x14ac:dyDescent="0.25">
      <c r="A150" t="s">
        <v>111</v>
      </c>
      <c r="B150" t="s">
        <v>202</v>
      </c>
      <c r="C150" t="s">
        <v>198</v>
      </c>
      <c r="D150">
        <v>18680777.890000001</v>
      </c>
    </row>
    <row r="151" spans="1:4" x14ac:dyDescent="0.25">
      <c r="A151" t="s">
        <v>111</v>
      </c>
      <c r="B151" t="s">
        <v>202</v>
      </c>
      <c r="C151" t="s">
        <v>199</v>
      </c>
      <c r="D151">
        <v>13729637.630000001</v>
      </c>
    </row>
    <row r="152" spans="1:4" x14ac:dyDescent="0.25">
      <c r="A152" t="s">
        <v>111</v>
      </c>
      <c r="B152" t="s">
        <v>202</v>
      </c>
      <c r="C152" t="s">
        <v>200</v>
      </c>
      <c r="D152">
        <v>78797257.640000001</v>
      </c>
    </row>
    <row r="153" spans="1:4" x14ac:dyDescent="0.25">
      <c r="A153" t="s">
        <v>111</v>
      </c>
      <c r="B153" t="s">
        <v>202</v>
      </c>
      <c r="C153" t="s">
        <v>201</v>
      </c>
      <c r="D153">
        <v>357327210.51999998</v>
      </c>
    </row>
    <row r="154" spans="1:4" x14ac:dyDescent="0.25">
      <c r="A154" t="s">
        <v>112</v>
      </c>
      <c r="B154" t="s">
        <v>196</v>
      </c>
      <c r="C154" t="s">
        <v>197</v>
      </c>
      <c r="D154">
        <v>16596029.35</v>
      </c>
    </row>
    <row r="155" spans="1:4" x14ac:dyDescent="0.25">
      <c r="A155" t="s">
        <v>112</v>
      </c>
      <c r="B155" t="s">
        <v>196</v>
      </c>
      <c r="C155" t="s">
        <v>198</v>
      </c>
      <c r="D155">
        <v>16941911.620000001</v>
      </c>
    </row>
    <row r="156" spans="1:4" x14ac:dyDescent="0.25">
      <c r="A156" t="s">
        <v>112</v>
      </c>
      <c r="B156" t="s">
        <v>196</v>
      </c>
      <c r="C156" t="s">
        <v>199</v>
      </c>
      <c r="D156">
        <v>14807701.35</v>
      </c>
    </row>
    <row r="157" spans="1:4" x14ac:dyDescent="0.25">
      <c r="A157" t="s">
        <v>112</v>
      </c>
      <c r="B157" t="s">
        <v>196</v>
      </c>
      <c r="C157" t="s">
        <v>200</v>
      </c>
      <c r="D157">
        <v>71172059.370000005</v>
      </c>
    </row>
    <row r="158" spans="1:4" x14ac:dyDescent="0.25">
      <c r="A158" t="s">
        <v>112</v>
      </c>
      <c r="B158" t="s">
        <v>196</v>
      </c>
      <c r="C158" t="s">
        <v>201</v>
      </c>
      <c r="D158">
        <v>937542278.89999998</v>
      </c>
    </row>
    <row r="159" spans="1:4" x14ac:dyDescent="0.25">
      <c r="A159" t="s">
        <v>112</v>
      </c>
      <c r="B159" t="s">
        <v>202</v>
      </c>
      <c r="C159" t="s">
        <v>197</v>
      </c>
      <c r="D159">
        <v>53168917.140000001</v>
      </c>
    </row>
    <row r="160" spans="1:4" x14ac:dyDescent="0.25">
      <c r="A160" t="s">
        <v>112</v>
      </c>
      <c r="B160" t="s">
        <v>202</v>
      </c>
      <c r="C160" t="s">
        <v>198</v>
      </c>
      <c r="D160">
        <v>24232048.460000001</v>
      </c>
    </row>
    <row r="161" spans="1:4" x14ac:dyDescent="0.25">
      <c r="A161" t="s">
        <v>112</v>
      </c>
      <c r="B161" t="s">
        <v>202</v>
      </c>
      <c r="C161" t="s">
        <v>199</v>
      </c>
      <c r="D161">
        <v>13254826.619999999</v>
      </c>
    </row>
    <row r="162" spans="1:4" x14ac:dyDescent="0.25">
      <c r="A162" t="s">
        <v>112</v>
      </c>
      <c r="B162" t="s">
        <v>202</v>
      </c>
      <c r="C162" t="s">
        <v>200</v>
      </c>
      <c r="D162">
        <v>78564891.409999996</v>
      </c>
    </row>
    <row r="163" spans="1:4" x14ac:dyDescent="0.25">
      <c r="A163" t="s">
        <v>112</v>
      </c>
      <c r="B163" t="s">
        <v>202</v>
      </c>
      <c r="C163" t="s">
        <v>201</v>
      </c>
      <c r="D163">
        <v>355674029.61000001</v>
      </c>
    </row>
    <row r="164" spans="1:4" x14ac:dyDescent="0.25">
      <c r="A164" t="s">
        <v>113</v>
      </c>
      <c r="B164" t="s">
        <v>196</v>
      </c>
      <c r="C164" t="s">
        <v>197</v>
      </c>
      <c r="D164">
        <v>18176321.34</v>
      </c>
    </row>
    <row r="165" spans="1:4" x14ac:dyDescent="0.25">
      <c r="A165" t="s">
        <v>113</v>
      </c>
      <c r="B165" t="s">
        <v>196</v>
      </c>
      <c r="C165" t="s">
        <v>198</v>
      </c>
      <c r="D165">
        <v>18222945.25</v>
      </c>
    </row>
    <row r="166" spans="1:4" x14ac:dyDescent="0.25">
      <c r="A166" t="s">
        <v>113</v>
      </c>
      <c r="B166" t="s">
        <v>196</v>
      </c>
      <c r="C166" t="s">
        <v>199</v>
      </c>
      <c r="D166">
        <v>16181999.34</v>
      </c>
    </row>
    <row r="167" spans="1:4" x14ac:dyDescent="0.25">
      <c r="A167" t="s">
        <v>113</v>
      </c>
      <c r="B167" t="s">
        <v>196</v>
      </c>
      <c r="C167" t="s">
        <v>200</v>
      </c>
      <c r="D167">
        <v>78221090.560000002</v>
      </c>
    </row>
    <row r="168" spans="1:4" x14ac:dyDescent="0.25">
      <c r="A168" t="s">
        <v>113</v>
      </c>
      <c r="B168" t="s">
        <v>196</v>
      </c>
      <c r="C168" t="s">
        <v>201</v>
      </c>
      <c r="D168">
        <v>931588214.10000002</v>
      </c>
    </row>
    <row r="169" spans="1:4" x14ac:dyDescent="0.25">
      <c r="A169" t="s">
        <v>113</v>
      </c>
      <c r="B169" t="s">
        <v>202</v>
      </c>
      <c r="C169" t="s">
        <v>197</v>
      </c>
      <c r="D169">
        <v>51581566.259999998</v>
      </c>
    </row>
    <row r="170" spans="1:4" x14ac:dyDescent="0.25">
      <c r="A170" t="s">
        <v>113</v>
      </c>
      <c r="B170" t="s">
        <v>202</v>
      </c>
      <c r="C170" t="s">
        <v>198</v>
      </c>
      <c r="D170">
        <v>25920814.350000001</v>
      </c>
    </row>
    <row r="171" spans="1:4" x14ac:dyDescent="0.25">
      <c r="A171" t="s">
        <v>113</v>
      </c>
      <c r="B171" t="s">
        <v>202</v>
      </c>
      <c r="C171" t="s">
        <v>199</v>
      </c>
      <c r="D171">
        <v>13915839.970000001</v>
      </c>
    </row>
    <row r="172" spans="1:4" x14ac:dyDescent="0.25">
      <c r="A172" t="s">
        <v>113</v>
      </c>
      <c r="B172" t="s">
        <v>202</v>
      </c>
      <c r="C172" t="s">
        <v>200</v>
      </c>
      <c r="D172">
        <v>74385796.879999995</v>
      </c>
    </row>
    <row r="173" spans="1:4" x14ac:dyDescent="0.25">
      <c r="A173" t="s">
        <v>113</v>
      </c>
      <c r="B173" t="s">
        <v>202</v>
      </c>
      <c r="C173" t="s">
        <v>201</v>
      </c>
      <c r="D173">
        <v>360879183.04000002</v>
      </c>
    </row>
    <row r="174" spans="1:4" x14ac:dyDescent="0.25">
      <c r="A174" t="s">
        <v>114</v>
      </c>
      <c r="B174" t="s">
        <v>196</v>
      </c>
      <c r="C174" t="s">
        <v>197</v>
      </c>
      <c r="D174">
        <v>21364774.600000001</v>
      </c>
    </row>
    <row r="175" spans="1:4" x14ac:dyDescent="0.25">
      <c r="A175" t="s">
        <v>114</v>
      </c>
      <c r="B175" t="s">
        <v>196</v>
      </c>
      <c r="C175" t="s">
        <v>198</v>
      </c>
      <c r="D175">
        <v>17083730.870000001</v>
      </c>
    </row>
    <row r="176" spans="1:4" x14ac:dyDescent="0.25">
      <c r="A176" t="s">
        <v>114</v>
      </c>
      <c r="B176" t="s">
        <v>196</v>
      </c>
      <c r="C176" t="s">
        <v>199</v>
      </c>
      <c r="D176">
        <v>14198218.699999999</v>
      </c>
    </row>
    <row r="177" spans="1:4" x14ac:dyDescent="0.25">
      <c r="A177" t="s">
        <v>114</v>
      </c>
      <c r="B177" t="s">
        <v>196</v>
      </c>
      <c r="C177" t="s">
        <v>200</v>
      </c>
      <c r="D177">
        <v>79414351.700000003</v>
      </c>
    </row>
    <row r="178" spans="1:4" x14ac:dyDescent="0.25">
      <c r="A178" t="s">
        <v>114</v>
      </c>
      <c r="B178" t="s">
        <v>196</v>
      </c>
      <c r="C178" t="s">
        <v>201</v>
      </c>
      <c r="D178">
        <v>929891979.26999998</v>
      </c>
    </row>
    <row r="179" spans="1:4" x14ac:dyDescent="0.25">
      <c r="A179" t="s">
        <v>114</v>
      </c>
      <c r="B179" t="s">
        <v>202</v>
      </c>
      <c r="C179" t="s">
        <v>197</v>
      </c>
      <c r="D179">
        <v>60266412.909999996</v>
      </c>
    </row>
    <row r="180" spans="1:4" x14ac:dyDescent="0.25">
      <c r="A180" t="s">
        <v>114</v>
      </c>
      <c r="B180" t="s">
        <v>202</v>
      </c>
      <c r="C180" t="s">
        <v>198</v>
      </c>
      <c r="D180">
        <v>18474528.760000002</v>
      </c>
    </row>
    <row r="181" spans="1:4" x14ac:dyDescent="0.25">
      <c r="A181" t="s">
        <v>114</v>
      </c>
      <c r="B181" t="s">
        <v>202</v>
      </c>
      <c r="C181" t="s">
        <v>199</v>
      </c>
      <c r="D181">
        <v>15659824.109999999</v>
      </c>
    </row>
    <row r="182" spans="1:4" x14ac:dyDescent="0.25">
      <c r="A182" t="s">
        <v>114</v>
      </c>
      <c r="B182" t="s">
        <v>202</v>
      </c>
      <c r="C182" t="s">
        <v>200</v>
      </c>
      <c r="D182">
        <v>72042525.170000002</v>
      </c>
    </row>
    <row r="183" spans="1:4" x14ac:dyDescent="0.25">
      <c r="A183" t="s">
        <v>114</v>
      </c>
      <c r="B183" t="s">
        <v>202</v>
      </c>
      <c r="C183" t="s">
        <v>201</v>
      </c>
      <c r="D183">
        <v>366950969.35000002</v>
      </c>
    </row>
    <row r="184" spans="1:4" x14ac:dyDescent="0.25">
      <c r="A184" t="s">
        <v>115</v>
      </c>
      <c r="B184" t="s">
        <v>196</v>
      </c>
      <c r="C184" t="s">
        <v>197</v>
      </c>
      <c r="D184">
        <v>17562383.859999999</v>
      </c>
    </row>
    <row r="185" spans="1:4" x14ac:dyDescent="0.25">
      <c r="A185" t="s">
        <v>115</v>
      </c>
      <c r="B185" t="s">
        <v>196</v>
      </c>
      <c r="C185" t="s">
        <v>198</v>
      </c>
      <c r="D185">
        <v>20198566.940000001</v>
      </c>
    </row>
    <row r="186" spans="1:4" x14ac:dyDescent="0.25">
      <c r="A186" t="s">
        <v>115</v>
      </c>
      <c r="B186" t="s">
        <v>196</v>
      </c>
      <c r="C186" t="s">
        <v>199</v>
      </c>
      <c r="D186">
        <v>15804656.02</v>
      </c>
    </row>
    <row r="187" spans="1:4" x14ac:dyDescent="0.25">
      <c r="A187" t="s">
        <v>115</v>
      </c>
      <c r="B187" t="s">
        <v>196</v>
      </c>
      <c r="C187" t="s">
        <v>200</v>
      </c>
      <c r="D187">
        <v>63277887.469999999</v>
      </c>
    </row>
    <row r="188" spans="1:4" x14ac:dyDescent="0.25">
      <c r="A188" t="s">
        <v>115</v>
      </c>
      <c r="B188" t="s">
        <v>196</v>
      </c>
      <c r="C188" t="s">
        <v>201</v>
      </c>
      <c r="D188">
        <v>926907013.12</v>
      </c>
    </row>
    <row r="189" spans="1:4" x14ac:dyDescent="0.25">
      <c r="A189" t="s">
        <v>115</v>
      </c>
      <c r="B189" t="s">
        <v>202</v>
      </c>
      <c r="C189" t="s">
        <v>197</v>
      </c>
      <c r="D189">
        <v>51958058.109999999</v>
      </c>
    </row>
    <row r="190" spans="1:4" x14ac:dyDescent="0.25">
      <c r="A190" t="s">
        <v>115</v>
      </c>
      <c r="B190" t="s">
        <v>202</v>
      </c>
      <c r="C190" t="s">
        <v>198</v>
      </c>
      <c r="D190">
        <v>24317404.809999999</v>
      </c>
    </row>
    <row r="191" spans="1:4" x14ac:dyDescent="0.25">
      <c r="A191" t="s">
        <v>115</v>
      </c>
      <c r="B191" t="s">
        <v>202</v>
      </c>
      <c r="C191" t="s">
        <v>199</v>
      </c>
      <c r="D191">
        <v>14387299.4</v>
      </c>
    </row>
    <row r="192" spans="1:4" x14ac:dyDescent="0.25">
      <c r="A192" t="s">
        <v>115</v>
      </c>
      <c r="B192" t="s">
        <v>202</v>
      </c>
      <c r="C192" t="s">
        <v>200</v>
      </c>
      <c r="D192">
        <v>75480042.079999998</v>
      </c>
    </row>
    <row r="193" spans="1:4" x14ac:dyDescent="0.25">
      <c r="A193" t="s">
        <v>115</v>
      </c>
      <c r="B193" t="s">
        <v>202</v>
      </c>
      <c r="C193" t="s">
        <v>201</v>
      </c>
      <c r="D193">
        <v>371304097.05000001</v>
      </c>
    </row>
    <row r="194" spans="1:4" x14ac:dyDescent="0.25">
      <c r="A194" t="s">
        <v>116</v>
      </c>
      <c r="B194" t="s">
        <v>196</v>
      </c>
      <c r="C194" t="s">
        <v>197</v>
      </c>
      <c r="D194">
        <v>20428150.41</v>
      </c>
    </row>
    <row r="195" spans="1:4" x14ac:dyDescent="0.25">
      <c r="A195" t="s">
        <v>116</v>
      </c>
      <c r="B195" t="s">
        <v>196</v>
      </c>
      <c r="C195" t="s">
        <v>198</v>
      </c>
      <c r="D195">
        <v>18035377.109999999</v>
      </c>
    </row>
    <row r="196" spans="1:4" x14ac:dyDescent="0.25">
      <c r="A196" t="s">
        <v>116</v>
      </c>
      <c r="B196" t="s">
        <v>196</v>
      </c>
      <c r="C196" t="s">
        <v>199</v>
      </c>
      <c r="D196">
        <v>20037916.5</v>
      </c>
    </row>
    <row r="197" spans="1:4" x14ac:dyDescent="0.25">
      <c r="A197" t="s">
        <v>116</v>
      </c>
      <c r="B197" t="s">
        <v>196</v>
      </c>
      <c r="C197" t="s">
        <v>200</v>
      </c>
      <c r="D197">
        <v>76310363.109999999</v>
      </c>
    </row>
    <row r="198" spans="1:4" x14ac:dyDescent="0.25">
      <c r="A198" t="s">
        <v>116</v>
      </c>
      <c r="B198" t="s">
        <v>196</v>
      </c>
      <c r="C198" t="s">
        <v>201</v>
      </c>
      <c r="D198">
        <v>930163522.91999996</v>
      </c>
    </row>
    <row r="199" spans="1:4" x14ac:dyDescent="0.25">
      <c r="A199" t="s">
        <v>116</v>
      </c>
      <c r="B199" t="s">
        <v>202</v>
      </c>
      <c r="C199" t="s">
        <v>197</v>
      </c>
      <c r="D199">
        <v>62261233.390000001</v>
      </c>
    </row>
    <row r="200" spans="1:4" x14ac:dyDescent="0.25">
      <c r="A200" t="s">
        <v>116</v>
      </c>
      <c r="B200" t="s">
        <v>202</v>
      </c>
      <c r="C200" t="s">
        <v>198</v>
      </c>
      <c r="D200">
        <v>16781796.579999998</v>
      </c>
    </row>
    <row r="201" spans="1:4" x14ac:dyDescent="0.25">
      <c r="A201" t="s">
        <v>116</v>
      </c>
      <c r="B201" t="s">
        <v>202</v>
      </c>
      <c r="C201" t="s">
        <v>199</v>
      </c>
      <c r="D201">
        <v>15357832.93</v>
      </c>
    </row>
    <row r="202" spans="1:4" x14ac:dyDescent="0.25">
      <c r="A202" t="s">
        <v>116</v>
      </c>
      <c r="B202" t="s">
        <v>202</v>
      </c>
      <c r="C202" t="s">
        <v>200</v>
      </c>
      <c r="D202">
        <v>73987538.209999993</v>
      </c>
    </row>
    <row r="203" spans="1:4" x14ac:dyDescent="0.25">
      <c r="A203" t="s">
        <v>116</v>
      </c>
      <c r="B203" t="s">
        <v>202</v>
      </c>
      <c r="C203" t="s">
        <v>201</v>
      </c>
      <c r="D203">
        <v>376218311</v>
      </c>
    </row>
    <row r="204" spans="1:4" x14ac:dyDescent="0.25">
      <c r="A204" t="s">
        <v>117</v>
      </c>
      <c r="B204" t="s">
        <v>196</v>
      </c>
      <c r="C204" t="s">
        <v>197</v>
      </c>
      <c r="D204">
        <v>18365385.960000001</v>
      </c>
    </row>
    <row r="205" spans="1:4" x14ac:dyDescent="0.25">
      <c r="A205" t="s">
        <v>117</v>
      </c>
      <c r="B205" t="s">
        <v>196</v>
      </c>
      <c r="C205" t="s">
        <v>198</v>
      </c>
      <c r="D205">
        <v>19755538.690000001</v>
      </c>
    </row>
    <row r="206" spans="1:4" x14ac:dyDescent="0.25">
      <c r="A206" t="s">
        <v>117</v>
      </c>
      <c r="B206" t="s">
        <v>196</v>
      </c>
      <c r="C206" t="s">
        <v>199</v>
      </c>
      <c r="D206">
        <v>20348237.120000001</v>
      </c>
    </row>
    <row r="207" spans="1:4" x14ac:dyDescent="0.25">
      <c r="A207" t="s">
        <v>117</v>
      </c>
      <c r="B207" t="s">
        <v>196</v>
      </c>
      <c r="C207" t="s">
        <v>200</v>
      </c>
      <c r="D207">
        <v>88639059.739999995</v>
      </c>
    </row>
    <row r="208" spans="1:4" x14ac:dyDescent="0.25">
      <c r="A208" t="s">
        <v>117</v>
      </c>
      <c r="B208" t="s">
        <v>196</v>
      </c>
      <c r="C208" t="s">
        <v>201</v>
      </c>
      <c r="D208">
        <v>932978538.50999999</v>
      </c>
    </row>
    <row r="209" spans="1:4" x14ac:dyDescent="0.25">
      <c r="A209" t="s">
        <v>117</v>
      </c>
      <c r="B209" t="s">
        <v>202</v>
      </c>
      <c r="C209" t="s">
        <v>197</v>
      </c>
      <c r="D209">
        <v>51477933.18</v>
      </c>
    </row>
    <row r="210" spans="1:4" x14ac:dyDescent="0.25">
      <c r="A210" t="s">
        <v>117</v>
      </c>
      <c r="B210" t="s">
        <v>202</v>
      </c>
      <c r="C210" t="s">
        <v>198</v>
      </c>
      <c r="D210">
        <v>25240688.129999999</v>
      </c>
    </row>
    <row r="211" spans="1:4" x14ac:dyDescent="0.25">
      <c r="A211" t="s">
        <v>117</v>
      </c>
      <c r="B211" t="s">
        <v>202</v>
      </c>
      <c r="C211" t="s">
        <v>199</v>
      </c>
      <c r="D211">
        <v>13423462.199999999</v>
      </c>
    </row>
    <row r="212" spans="1:4" x14ac:dyDescent="0.25">
      <c r="A212" t="s">
        <v>117</v>
      </c>
      <c r="B212" t="s">
        <v>202</v>
      </c>
      <c r="C212" t="s">
        <v>200</v>
      </c>
      <c r="D212">
        <v>74797419.230000004</v>
      </c>
    </row>
    <row r="213" spans="1:4" x14ac:dyDescent="0.25">
      <c r="A213" t="s">
        <v>117</v>
      </c>
      <c r="B213" t="s">
        <v>202</v>
      </c>
      <c r="C213" t="s">
        <v>201</v>
      </c>
      <c r="D213">
        <v>381354841.45999998</v>
      </c>
    </row>
    <row r="214" spans="1:4" x14ac:dyDescent="0.25">
      <c r="A214" t="s">
        <v>118</v>
      </c>
      <c r="B214" t="s">
        <v>196</v>
      </c>
      <c r="C214" t="s">
        <v>197</v>
      </c>
      <c r="D214">
        <v>17779281.68</v>
      </c>
    </row>
    <row r="215" spans="1:4" x14ac:dyDescent="0.25">
      <c r="A215" t="s">
        <v>118</v>
      </c>
      <c r="B215" t="s">
        <v>196</v>
      </c>
      <c r="C215" t="s">
        <v>198</v>
      </c>
      <c r="D215">
        <v>20498051.329999998</v>
      </c>
    </row>
    <row r="216" spans="1:4" x14ac:dyDescent="0.25">
      <c r="A216" t="s">
        <v>118</v>
      </c>
      <c r="B216" t="s">
        <v>196</v>
      </c>
      <c r="C216" t="s">
        <v>199</v>
      </c>
      <c r="D216">
        <v>19082073.399999999</v>
      </c>
    </row>
    <row r="217" spans="1:4" x14ac:dyDescent="0.25">
      <c r="A217" t="s">
        <v>118</v>
      </c>
      <c r="B217" t="s">
        <v>196</v>
      </c>
      <c r="C217" t="s">
        <v>200</v>
      </c>
      <c r="D217">
        <v>86738553.239999995</v>
      </c>
    </row>
    <row r="218" spans="1:4" x14ac:dyDescent="0.25">
      <c r="A218" t="s">
        <v>118</v>
      </c>
      <c r="B218" t="s">
        <v>196</v>
      </c>
      <c r="C218" t="s">
        <v>201</v>
      </c>
      <c r="D218">
        <v>935525146.80999994</v>
      </c>
    </row>
    <row r="219" spans="1:4" x14ac:dyDescent="0.25">
      <c r="A219" t="s">
        <v>118</v>
      </c>
      <c r="B219" t="s">
        <v>202</v>
      </c>
      <c r="C219" t="s">
        <v>197</v>
      </c>
      <c r="D219">
        <v>49522822.810000002</v>
      </c>
    </row>
    <row r="220" spans="1:4" x14ac:dyDescent="0.25">
      <c r="A220" t="s">
        <v>118</v>
      </c>
      <c r="B220" t="s">
        <v>202</v>
      </c>
      <c r="C220" t="s">
        <v>198</v>
      </c>
      <c r="D220">
        <v>23166340.879999999</v>
      </c>
    </row>
    <row r="221" spans="1:4" x14ac:dyDescent="0.25">
      <c r="A221" t="s">
        <v>118</v>
      </c>
      <c r="B221" t="s">
        <v>202</v>
      </c>
      <c r="C221" t="s">
        <v>199</v>
      </c>
      <c r="D221">
        <v>13241244.77</v>
      </c>
    </row>
    <row r="222" spans="1:4" x14ac:dyDescent="0.25">
      <c r="A222" t="s">
        <v>118</v>
      </c>
      <c r="B222" t="s">
        <v>202</v>
      </c>
      <c r="C222" t="s">
        <v>200</v>
      </c>
      <c r="D222">
        <v>75114186.379999995</v>
      </c>
    </row>
    <row r="223" spans="1:4" x14ac:dyDescent="0.25">
      <c r="A223" t="s">
        <v>118</v>
      </c>
      <c r="B223" t="s">
        <v>202</v>
      </c>
      <c r="C223" t="s">
        <v>201</v>
      </c>
      <c r="D223">
        <v>386525277.33999997</v>
      </c>
    </row>
    <row r="224" spans="1:4" x14ac:dyDescent="0.25">
      <c r="A224" t="s">
        <v>119</v>
      </c>
      <c r="B224" t="s">
        <v>196</v>
      </c>
      <c r="C224" t="s">
        <v>197</v>
      </c>
      <c r="D224">
        <v>22362724.030000001</v>
      </c>
    </row>
    <row r="225" spans="1:4" x14ac:dyDescent="0.25">
      <c r="A225" t="s">
        <v>119</v>
      </c>
      <c r="B225" t="s">
        <v>196</v>
      </c>
      <c r="C225" t="s">
        <v>198</v>
      </c>
      <c r="D225">
        <v>19821493.530000001</v>
      </c>
    </row>
    <row r="226" spans="1:4" x14ac:dyDescent="0.25">
      <c r="A226" t="s">
        <v>119</v>
      </c>
      <c r="B226" t="s">
        <v>196</v>
      </c>
      <c r="C226" t="s">
        <v>199</v>
      </c>
      <c r="D226">
        <v>18558596.260000002</v>
      </c>
    </row>
    <row r="227" spans="1:4" x14ac:dyDescent="0.25">
      <c r="A227" t="s">
        <v>119</v>
      </c>
      <c r="B227" t="s">
        <v>196</v>
      </c>
      <c r="C227" t="s">
        <v>200</v>
      </c>
      <c r="D227">
        <v>74510812.120000005</v>
      </c>
    </row>
    <row r="228" spans="1:4" x14ac:dyDescent="0.25">
      <c r="A228" t="s">
        <v>119</v>
      </c>
      <c r="B228" t="s">
        <v>196</v>
      </c>
      <c r="C228" t="s">
        <v>201</v>
      </c>
      <c r="D228">
        <v>938079918.83000004</v>
      </c>
    </row>
    <row r="229" spans="1:4" x14ac:dyDescent="0.25">
      <c r="A229" t="s">
        <v>119</v>
      </c>
      <c r="B229" t="s">
        <v>202</v>
      </c>
      <c r="C229" t="s">
        <v>197</v>
      </c>
      <c r="D229">
        <v>64329387.850000001</v>
      </c>
    </row>
    <row r="230" spans="1:4" x14ac:dyDescent="0.25">
      <c r="A230" t="s">
        <v>119</v>
      </c>
      <c r="B230" t="s">
        <v>202</v>
      </c>
      <c r="C230" t="s">
        <v>198</v>
      </c>
      <c r="D230">
        <v>20708269.609999999</v>
      </c>
    </row>
    <row r="231" spans="1:4" x14ac:dyDescent="0.25">
      <c r="A231" t="s">
        <v>119</v>
      </c>
      <c r="B231" t="s">
        <v>202</v>
      </c>
      <c r="C231" t="s">
        <v>199</v>
      </c>
      <c r="D231">
        <v>13091590.66</v>
      </c>
    </row>
    <row r="232" spans="1:4" x14ac:dyDescent="0.25">
      <c r="A232" t="s">
        <v>119</v>
      </c>
      <c r="B232" t="s">
        <v>202</v>
      </c>
      <c r="C232" t="s">
        <v>200</v>
      </c>
      <c r="D232">
        <v>71750794.549999997</v>
      </c>
    </row>
    <row r="233" spans="1:4" x14ac:dyDescent="0.25">
      <c r="A233" t="s">
        <v>119</v>
      </c>
      <c r="B233" t="s">
        <v>202</v>
      </c>
      <c r="C233" t="s">
        <v>201</v>
      </c>
      <c r="D233">
        <v>374939258.55000001</v>
      </c>
    </row>
    <row r="234" spans="1:4" x14ac:dyDescent="0.25">
      <c r="A234" t="s">
        <v>120</v>
      </c>
      <c r="B234" t="s">
        <v>196</v>
      </c>
      <c r="C234" t="s">
        <v>197</v>
      </c>
      <c r="D234">
        <v>17682281.699999999</v>
      </c>
    </row>
    <row r="235" spans="1:4" x14ac:dyDescent="0.25">
      <c r="A235" t="s">
        <v>120</v>
      </c>
      <c r="B235" t="s">
        <v>196</v>
      </c>
      <c r="C235" t="s">
        <v>198</v>
      </c>
      <c r="D235">
        <v>23721983.890000001</v>
      </c>
    </row>
    <row r="236" spans="1:4" x14ac:dyDescent="0.25">
      <c r="A236" t="s">
        <v>120</v>
      </c>
      <c r="B236" t="s">
        <v>196</v>
      </c>
      <c r="C236" t="s">
        <v>199</v>
      </c>
      <c r="D236">
        <v>18324430.239999998</v>
      </c>
    </row>
    <row r="237" spans="1:4" x14ac:dyDescent="0.25">
      <c r="A237" t="s">
        <v>120</v>
      </c>
      <c r="B237" t="s">
        <v>196</v>
      </c>
      <c r="C237" t="s">
        <v>200</v>
      </c>
      <c r="D237">
        <v>79479493.5</v>
      </c>
    </row>
    <row r="238" spans="1:4" x14ac:dyDescent="0.25">
      <c r="A238" t="s">
        <v>120</v>
      </c>
      <c r="B238" t="s">
        <v>196</v>
      </c>
      <c r="C238" t="s">
        <v>201</v>
      </c>
      <c r="D238">
        <v>938844099.36000001</v>
      </c>
    </row>
    <row r="239" spans="1:4" x14ac:dyDescent="0.25">
      <c r="A239" t="s">
        <v>120</v>
      </c>
      <c r="B239" t="s">
        <v>202</v>
      </c>
      <c r="C239" t="s">
        <v>197</v>
      </c>
      <c r="D239">
        <v>49980176.439999998</v>
      </c>
    </row>
    <row r="240" spans="1:4" x14ac:dyDescent="0.25">
      <c r="A240" t="s">
        <v>120</v>
      </c>
      <c r="B240" t="s">
        <v>202</v>
      </c>
      <c r="C240" t="s">
        <v>198</v>
      </c>
      <c r="D240">
        <v>29806792.68</v>
      </c>
    </row>
    <row r="241" spans="1:4" x14ac:dyDescent="0.25">
      <c r="A241" t="s">
        <v>120</v>
      </c>
      <c r="B241" t="s">
        <v>202</v>
      </c>
      <c r="C241" t="s">
        <v>199</v>
      </c>
      <c r="D241">
        <v>13188705.74</v>
      </c>
    </row>
    <row r="242" spans="1:4" x14ac:dyDescent="0.25">
      <c r="A242" t="s">
        <v>120</v>
      </c>
      <c r="B242" t="s">
        <v>202</v>
      </c>
      <c r="C242" t="s">
        <v>200</v>
      </c>
      <c r="D242">
        <v>72022535.430000007</v>
      </c>
    </row>
    <row r="243" spans="1:4" x14ac:dyDescent="0.25">
      <c r="A243" t="s">
        <v>120</v>
      </c>
      <c r="B243" t="s">
        <v>202</v>
      </c>
      <c r="C243" t="s">
        <v>201</v>
      </c>
      <c r="D243">
        <v>354830802.00999999</v>
      </c>
    </row>
    <row r="244" spans="1:4" x14ac:dyDescent="0.25">
      <c r="A244" t="s">
        <v>121</v>
      </c>
      <c r="B244" t="s">
        <v>196</v>
      </c>
      <c r="C244" t="s">
        <v>197</v>
      </c>
      <c r="D244">
        <v>26374847.620000001</v>
      </c>
    </row>
    <row r="245" spans="1:4" x14ac:dyDescent="0.25">
      <c r="A245" t="s">
        <v>121</v>
      </c>
      <c r="B245" t="s">
        <v>196</v>
      </c>
      <c r="C245" t="s">
        <v>198</v>
      </c>
      <c r="D245">
        <v>15916423.49</v>
      </c>
    </row>
    <row r="246" spans="1:4" x14ac:dyDescent="0.25">
      <c r="A246" t="s">
        <v>121</v>
      </c>
      <c r="B246" t="s">
        <v>196</v>
      </c>
      <c r="C246" t="s">
        <v>199</v>
      </c>
      <c r="D246">
        <v>20229455.989999998</v>
      </c>
    </row>
    <row r="247" spans="1:4" x14ac:dyDescent="0.25">
      <c r="A247" t="s">
        <v>121</v>
      </c>
      <c r="B247" t="s">
        <v>196</v>
      </c>
      <c r="C247" t="s">
        <v>200</v>
      </c>
      <c r="D247">
        <v>65856183.539999999</v>
      </c>
    </row>
    <row r="248" spans="1:4" x14ac:dyDescent="0.25">
      <c r="A248" t="s">
        <v>121</v>
      </c>
      <c r="B248" t="s">
        <v>196</v>
      </c>
      <c r="C248" t="s">
        <v>201</v>
      </c>
      <c r="D248">
        <v>939899996.98000002</v>
      </c>
    </row>
    <row r="249" spans="1:4" x14ac:dyDescent="0.25">
      <c r="A249" t="s">
        <v>121</v>
      </c>
      <c r="B249" t="s">
        <v>202</v>
      </c>
      <c r="C249" t="s">
        <v>197</v>
      </c>
      <c r="D249">
        <v>51444682.829999998</v>
      </c>
    </row>
    <row r="250" spans="1:4" x14ac:dyDescent="0.25">
      <c r="A250" t="s">
        <v>121</v>
      </c>
      <c r="B250" t="s">
        <v>202</v>
      </c>
      <c r="C250" t="s">
        <v>198</v>
      </c>
      <c r="D250">
        <v>13826176.789999999</v>
      </c>
    </row>
    <row r="251" spans="1:4" x14ac:dyDescent="0.25">
      <c r="A251" t="s">
        <v>121</v>
      </c>
      <c r="B251" t="s">
        <v>202</v>
      </c>
      <c r="C251" t="s">
        <v>199</v>
      </c>
      <c r="D251">
        <v>15575350.52</v>
      </c>
    </row>
    <row r="252" spans="1:4" x14ac:dyDescent="0.25">
      <c r="A252" t="s">
        <v>121</v>
      </c>
      <c r="B252" t="s">
        <v>202</v>
      </c>
      <c r="C252" t="s">
        <v>200</v>
      </c>
      <c r="D252">
        <v>66307578.369999997</v>
      </c>
    </row>
    <row r="253" spans="1:4" x14ac:dyDescent="0.25">
      <c r="A253" t="s">
        <v>121</v>
      </c>
      <c r="B253" t="s">
        <v>202</v>
      </c>
      <c r="C253" t="s">
        <v>201</v>
      </c>
      <c r="D253">
        <v>352847226.06999999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3B00"/>
  </sheetPr>
  <dimension ref="A1:H4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12" customWidth="1"/>
    <col min="2" max="2" width="20" customWidth="1"/>
    <col min="3" max="3" width="18" customWidth="1"/>
    <col min="4" max="4" width="12" customWidth="1"/>
    <col min="5" max="6" width="16" customWidth="1"/>
    <col min="7" max="7" width="14" customWidth="1"/>
    <col min="8" max="8" width="16" customWidth="1"/>
  </cols>
  <sheetData>
    <row r="1" spans="1:8" ht="27.95" customHeight="1" x14ac:dyDescent="0.25">
      <c r="A1" s="49" t="s">
        <v>203</v>
      </c>
      <c r="B1" s="40"/>
      <c r="C1" s="40"/>
      <c r="D1" s="40"/>
      <c r="E1" s="40"/>
      <c r="F1" s="40"/>
      <c r="G1" s="40"/>
      <c r="H1" s="40"/>
    </row>
    <row r="2" spans="1:8" ht="18" customHeight="1" x14ac:dyDescent="0.25">
      <c r="A2" s="39" t="s">
        <v>204</v>
      </c>
      <c r="B2" s="40"/>
      <c r="C2" s="40"/>
      <c r="D2" s="40"/>
      <c r="E2" s="40"/>
      <c r="F2" s="40"/>
      <c r="G2" s="40"/>
      <c r="H2" s="40"/>
    </row>
    <row r="3" spans="1:8" ht="36" customHeight="1" x14ac:dyDescent="0.25">
      <c r="A3" s="8" t="s">
        <v>63</v>
      </c>
      <c r="B3" s="8" t="s">
        <v>205</v>
      </c>
      <c r="C3" s="8" t="s">
        <v>64</v>
      </c>
      <c r="D3" s="8" t="s">
        <v>206</v>
      </c>
      <c r="E3" s="8" t="s">
        <v>207</v>
      </c>
      <c r="F3" s="8" t="s">
        <v>208</v>
      </c>
      <c r="G3" s="8" t="s">
        <v>209</v>
      </c>
      <c r="H3" s="8" t="s">
        <v>210</v>
      </c>
    </row>
    <row r="4" spans="1:8" ht="32.1" customHeight="1" x14ac:dyDescent="0.25">
      <c r="A4" s="4" t="s">
        <v>79</v>
      </c>
      <c r="B4" s="4" t="s">
        <v>58</v>
      </c>
      <c r="C4" s="4" t="s">
        <v>211</v>
      </c>
      <c r="D4" s="4" t="s">
        <v>212</v>
      </c>
      <c r="E4" s="4" t="s">
        <v>213</v>
      </c>
      <c r="F4" s="4" t="s">
        <v>214</v>
      </c>
      <c r="G4" s="4" t="s">
        <v>215</v>
      </c>
      <c r="H4" s="4" t="s">
        <v>216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41F1F"/>
  </sheetPr>
  <dimension ref="A1:J4"/>
  <sheetViews>
    <sheetView workbookViewId="0">
      <pane ySplit="4" topLeftCell="A8" activePane="bottomLeft" state="frozen"/>
      <selection pane="bottomLeft" sqref="A1:J1"/>
    </sheetView>
  </sheetViews>
  <sheetFormatPr defaultRowHeight="15" x14ac:dyDescent="0.25"/>
  <cols>
    <col min="1" max="1" width="24" customWidth="1"/>
    <col min="2" max="2" width="22" customWidth="1"/>
    <col min="3" max="3" width="18" customWidth="1"/>
    <col min="4" max="4" width="16" customWidth="1"/>
    <col min="5" max="5" width="14" customWidth="1"/>
    <col min="6" max="6" width="12" customWidth="1"/>
    <col min="7" max="7" width="18" customWidth="1"/>
    <col min="8" max="8" width="30" customWidth="1"/>
    <col min="9" max="9" width="18" customWidth="1"/>
    <col min="10" max="10" width="14" customWidth="1"/>
  </cols>
  <sheetData>
    <row r="1" spans="1:10" ht="27.95" customHeight="1" x14ac:dyDescent="0.25">
      <c r="A1" s="50" t="s">
        <v>217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x14ac:dyDescent="0.25">
      <c r="A2" s="39" t="s">
        <v>218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36" customHeight="1" x14ac:dyDescent="0.25">
      <c r="A3" s="9" t="s">
        <v>219</v>
      </c>
      <c r="B3" s="9" t="s">
        <v>220</v>
      </c>
      <c r="C3" s="9" t="s">
        <v>64</v>
      </c>
      <c r="D3" s="9" t="s">
        <v>221</v>
      </c>
      <c r="E3" s="9" t="s">
        <v>222</v>
      </c>
      <c r="F3" s="9" t="s">
        <v>223</v>
      </c>
      <c r="G3" s="9" t="s">
        <v>224</v>
      </c>
      <c r="H3" s="9" t="s">
        <v>225</v>
      </c>
      <c r="I3" s="9" t="s">
        <v>226</v>
      </c>
      <c r="J3" s="9" t="s">
        <v>227</v>
      </c>
    </row>
    <row r="4" spans="1:10" ht="32.1" customHeight="1" x14ac:dyDescent="0.25">
      <c r="A4" s="4" t="s">
        <v>228</v>
      </c>
      <c r="B4" s="4" t="s">
        <v>229</v>
      </c>
      <c r="C4" s="4" t="s">
        <v>230</v>
      </c>
      <c r="D4" s="4" t="s">
        <v>231</v>
      </c>
      <c r="E4" s="4" t="s">
        <v>232</v>
      </c>
      <c r="F4" s="4" t="s">
        <v>60</v>
      </c>
      <c r="G4" s="4" t="s">
        <v>233</v>
      </c>
      <c r="H4" s="4" t="s">
        <v>234</v>
      </c>
      <c r="I4" s="4" t="s">
        <v>235</v>
      </c>
      <c r="J4" s="4" t="s">
        <v>236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A3A3A"/>
  </sheetPr>
  <dimension ref="A1:E73"/>
  <sheetViews>
    <sheetView workbookViewId="0">
      <pane ySplit="4" topLeftCell="A29" activePane="bottomLeft" state="frozen"/>
      <selection pane="bottomLeft" activeCell="B18" sqref="B18"/>
    </sheetView>
  </sheetViews>
  <sheetFormatPr defaultRowHeight="15" x14ac:dyDescent="0.25"/>
  <cols>
    <col min="1" max="1" width="12" customWidth="1"/>
    <col min="2" max="2" width="20" customWidth="1"/>
    <col min="3" max="5" width="14" customWidth="1"/>
  </cols>
  <sheetData>
    <row r="1" spans="1:5" ht="27.95" customHeight="1" x14ac:dyDescent="0.25">
      <c r="A1" s="51" t="s">
        <v>237</v>
      </c>
      <c r="B1" s="40"/>
      <c r="C1" s="40"/>
      <c r="D1" s="40"/>
      <c r="E1" s="40"/>
    </row>
    <row r="2" spans="1:5" ht="18" customHeight="1" x14ac:dyDescent="0.25">
      <c r="A2" s="39" t="s">
        <v>238</v>
      </c>
      <c r="B2" s="40"/>
      <c r="C2" s="40"/>
      <c r="D2" s="40"/>
      <c r="E2" s="40"/>
    </row>
    <row r="3" spans="1:5" ht="36" customHeight="1" x14ac:dyDescent="0.25">
      <c r="A3" s="10" t="s">
        <v>63</v>
      </c>
      <c r="B3" s="10" t="s">
        <v>239</v>
      </c>
      <c r="C3" s="10" t="s">
        <v>125</v>
      </c>
      <c r="D3" s="10" t="s">
        <v>65</v>
      </c>
      <c r="E3" s="10" t="s">
        <v>240</v>
      </c>
    </row>
    <row r="4" spans="1:5" ht="32.1" customHeight="1" x14ac:dyDescent="0.25">
      <c r="A4" s="10" t="s">
        <v>108</v>
      </c>
      <c r="B4" s="10" t="s">
        <v>241</v>
      </c>
      <c r="C4" s="10">
        <v>79126</v>
      </c>
      <c r="D4" s="4" t="s">
        <v>242</v>
      </c>
      <c r="E4" s="4" t="s">
        <v>243</v>
      </c>
    </row>
    <row r="5" spans="1:5" x14ac:dyDescent="0.25">
      <c r="A5" s="4" t="s">
        <v>108</v>
      </c>
      <c r="B5" s="4" t="s">
        <v>244</v>
      </c>
      <c r="C5" s="4">
        <v>123270</v>
      </c>
    </row>
    <row r="6" spans="1:5" x14ac:dyDescent="0.25">
      <c r="A6" t="s">
        <v>108</v>
      </c>
      <c r="B6" t="s">
        <v>245</v>
      </c>
      <c r="C6">
        <v>107441</v>
      </c>
    </row>
    <row r="7" spans="1:5" x14ac:dyDescent="0.25">
      <c r="A7" t="s">
        <v>108</v>
      </c>
      <c r="B7" t="s">
        <v>246</v>
      </c>
      <c r="C7">
        <v>74998</v>
      </c>
    </row>
    <row r="8" spans="1:5" x14ac:dyDescent="0.25">
      <c r="A8" t="s">
        <v>108</v>
      </c>
      <c r="B8" t="s">
        <v>247</v>
      </c>
      <c r="C8">
        <v>18902</v>
      </c>
    </row>
    <row r="9" spans="1:5" x14ac:dyDescent="0.25">
      <c r="A9" t="s">
        <v>109</v>
      </c>
      <c r="B9" t="s">
        <v>241</v>
      </c>
      <c r="C9">
        <v>56370</v>
      </c>
    </row>
    <row r="10" spans="1:5" x14ac:dyDescent="0.25">
      <c r="A10" t="s">
        <v>109</v>
      </c>
      <c r="B10" t="s">
        <v>244</v>
      </c>
      <c r="C10">
        <v>122217</v>
      </c>
    </row>
    <row r="11" spans="1:5" x14ac:dyDescent="0.25">
      <c r="A11" t="s">
        <v>109</v>
      </c>
      <c r="B11" t="s">
        <v>245</v>
      </c>
      <c r="C11">
        <v>105680</v>
      </c>
    </row>
    <row r="12" spans="1:5" x14ac:dyDescent="0.25">
      <c r="A12" t="s">
        <v>109</v>
      </c>
      <c r="B12" t="s">
        <v>246</v>
      </c>
      <c r="C12">
        <v>74194</v>
      </c>
    </row>
    <row r="13" spans="1:5" x14ac:dyDescent="0.25">
      <c r="A13" t="s">
        <v>109</v>
      </c>
      <c r="B13" t="s">
        <v>247</v>
      </c>
      <c r="C13">
        <v>16848</v>
      </c>
    </row>
    <row r="14" spans="1:5" x14ac:dyDescent="0.25">
      <c r="A14" t="s">
        <v>110</v>
      </c>
      <c r="B14" t="s">
        <v>241</v>
      </c>
      <c r="C14">
        <v>54181</v>
      </c>
    </row>
    <row r="15" spans="1:5" x14ac:dyDescent="0.25">
      <c r="A15" t="s">
        <v>110</v>
      </c>
      <c r="B15" t="s">
        <v>244</v>
      </c>
      <c r="C15">
        <v>126011</v>
      </c>
    </row>
    <row r="16" spans="1:5" x14ac:dyDescent="0.25">
      <c r="A16" t="s">
        <v>110</v>
      </c>
      <c r="B16" t="s">
        <v>245</v>
      </c>
      <c r="C16">
        <v>104411</v>
      </c>
    </row>
    <row r="17" spans="1:3" x14ac:dyDescent="0.25">
      <c r="A17" t="s">
        <v>110</v>
      </c>
      <c r="B17" t="s">
        <v>246</v>
      </c>
      <c r="C17">
        <v>75797</v>
      </c>
    </row>
    <row r="18" spans="1:3" x14ac:dyDescent="0.25">
      <c r="A18" t="s">
        <v>110</v>
      </c>
      <c r="B18" t="s">
        <v>247</v>
      </c>
      <c r="C18">
        <v>17424</v>
      </c>
    </row>
    <row r="19" spans="1:3" x14ac:dyDescent="0.25">
      <c r="A19" t="s">
        <v>111</v>
      </c>
      <c r="B19" t="s">
        <v>241</v>
      </c>
      <c r="C19">
        <v>55475</v>
      </c>
    </row>
    <row r="20" spans="1:3" x14ac:dyDescent="0.25">
      <c r="A20" t="s">
        <v>111</v>
      </c>
      <c r="B20" t="s">
        <v>244</v>
      </c>
      <c r="C20">
        <v>124825</v>
      </c>
    </row>
    <row r="21" spans="1:3" x14ac:dyDescent="0.25">
      <c r="A21" t="s">
        <v>111</v>
      </c>
      <c r="B21" t="s">
        <v>245</v>
      </c>
      <c r="C21">
        <v>99066</v>
      </c>
    </row>
    <row r="22" spans="1:3" x14ac:dyDescent="0.25">
      <c r="A22" t="s">
        <v>111</v>
      </c>
      <c r="B22" t="s">
        <v>246</v>
      </c>
      <c r="C22">
        <v>75679</v>
      </c>
    </row>
    <row r="23" spans="1:3" x14ac:dyDescent="0.25">
      <c r="A23" t="s">
        <v>111</v>
      </c>
      <c r="B23" t="s">
        <v>247</v>
      </c>
      <c r="C23">
        <v>16828</v>
      </c>
    </row>
    <row r="24" spans="1:3" x14ac:dyDescent="0.25">
      <c r="A24" t="s">
        <v>112</v>
      </c>
      <c r="B24" t="s">
        <v>241</v>
      </c>
      <c r="C24">
        <v>53902</v>
      </c>
    </row>
    <row r="25" spans="1:3" x14ac:dyDescent="0.25">
      <c r="A25" t="s">
        <v>112</v>
      </c>
      <c r="B25" t="s">
        <v>244</v>
      </c>
      <c r="C25">
        <v>126919</v>
      </c>
    </row>
    <row r="26" spans="1:3" x14ac:dyDescent="0.25">
      <c r="A26" t="s">
        <v>112</v>
      </c>
      <c r="B26" t="s">
        <v>245</v>
      </c>
      <c r="C26">
        <v>105691</v>
      </c>
    </row>
    <row r="27" spans="1:3" x14ac:dyDescent="0.25">
      <c r="A27" t="s">
        <v>112</v>
      </c>
      <c r="B27" t="s">
        <v>246</v>
      </c>
      <c r="C27">
        <v>77934</v>
      </c>
    </row>
    <row r="28" spans="1:3" x14ac:dyDescent="0.25">
      <c r="A28" t="s">
        <v>112</v>
      </c>
      <c r="B28" t="s">
        <v>247</v>
      </c>
      <c r="C28">
        <v>18742</v>
      </c>
    </row>
    <row r="29" spans="1:3" x14ac:dyDescent="0.25">
      <c r="A29" t="s">
        <v>113</v>
      </c>
      <c r="B29" t="s">
        <v>241</v>
      </c>
      <c r="C29">
        <v>53834</v>
      </c>
    </row>
    <row r="30" spans="1:3" x14ac:dyDescent="0.25">
      <c r="A30" t="s">
        <v>113</v>
      </c>
      <c r="B30" t="s">
        <v>244</v>
      </c>
      <c r="C30">
        <v>125979</v>
      </c>
    </row>
    <row r="31" spans="1:3" x14ac:dyDescent="0.25">
      <c r="A31" t="s">
        <v>113</v>
      </c>
      <c r="B31" t="s">
        <v>245</v>
      </c>
      <c r="C31">
        <v>103156</v>
      </c>
    </row>
    <row r="32" spans="1:3" x14ac:dyDescent="0.25">
      <c r="A32" t="s">
        <v>113</v>
      </c>
      <c r="B32" t="s">
        <v>246</v>
      </c>
      <c r="C32">
        <v>75767</v>
      </c>
    </row>
    <row r="33" spans="1:3" x14ac:dyDescent="0.25">
      <c r="A33" t="s">
        <v>113</v>
      </c>
      <c r="B33" t="s">
        <v>247</v>
      </c>
      <c r="C33">
        <v>17537</v>
      </c>
    </row>
    <row r="34" spans="1:3" x14ac:dyDescent="0.25">
      <c r="A34" t="s">
        <v>114</v>
      </c>
      <c r="B34" t="s">
        <v>241</v>
      </c>
      <c r="C34">
        <v>51550</v>
      </c>
    </row>
    <row r="35" spans="1:3" x14ac:dyDescent="0.25">
      <c r="A35" t="s">
        <v>114</v>
      </c>
      <c r="B35" t="s">
        <v>244</v>
      </c>
      <c r="C35">
        <v>127326</v>
      </c>
    </row>
    <row r="36" spans="1:3" x14ac:dyDescent="0.25">
      <c r="A36" t="s">
        <v>114</v>
      </c>
      <c r="B36" t="s">
        <v>245</v>
      </c>
      <c r="C36">
        <v>103887</v>
      </c>
    </row>
    <row r="37" spans="1:3" x14ac:dyDescent="0.25">
      <c r="A37" t="s">
        <v>114</v>
      </c>
      <c r="B37" t="s">
        <v>246</v>
      </c>
      <c r="C37">
        <v>77407</v>
      </c>
    </row>
    <row r="38" spans="1:3" x14ac:dyDescent="0.25">
      <c r="A38" t="s">
        <v>114</v>
      </c>
      <c r="B38" t="s">
        <v>247</v>
      </c>
      <c r="C38">
        <v>17871</v>
      </c>
    </row>
    <row r="39" spans="1:3" x14ac:dyDescent="0.25">
      <c r="A39" t="s">
        <v>115</v>
      </c>
      <c r="B39" t="s">
        <v>241</v>
      </c>
      <c r="C39">
        <v>49313</v>
      </c>
    </row>
    <row r="40" spans="1:3" x14ac:dyDescent="0.25">
      <c r="A40" t="s">
        <v>115</v>
      </c>
      <c r="B40" t="s">
        <v>244</v>
      </c>
      <c r="C40">
        <v>128344</v>
      </c>
    </row>
    <row r="41" spans="1:3" x14ac:dyDescent="0.25">
      <c r="A41" t="s">
        <v>115</v>
      </c>
      <c r="B41" t="s">
        <v>245</v>
      </c>
      <c r="C41">
        <v>103467</v>
      </c>
    </row>
    <row r="42" spans="1:3" x14ac:dyDescent="0.25">
      <c r="A42" t="s">
        <v>115</v>
      </c>
      <c r="B42" t="s">
        <v>246</v>
      </c>
      <c r="C42">
        <v>78539</v>
      </c>
    </row>
    <row r="43" spans="1:3" x14ac:dyDescent="0.25">
      <c r="A43" t="s">
        <v>115</v>
      </c>
      <c r="B43" t="s">
        <v>247</v>
      </c>
      <c r="C43">
        <v>18051</v>
      </c>
    </row>
    <row r="44" spans="1:3" x14ac:dyDescent="0.25">
      <c r="A44" t="s">
        <v>116</v>
      </c>
      <c r="B44" t="s">
        <v>241</v>
      </c>
      <c r="C44">
        <v>47341</v>
      </c>
    </row>
    <row r="45" spans="1:3" x14ac:dyDescent="0.25">
      <c r="A45" t="s">
        <v>116</v>
      </c>
      <c r="B45" t="s">
        <v>244</v>
      </c>
      <c r="C45">
        <v>128906</v>
      </c>
    </row>
    <row r="46" spans="1:3" x14ac:dyDescent="0.25">
      <c r="A46" t="s">
        <v>116</v>
      </c>
      <c r="B46" t="s">
        <v>245</v>
      </c>
      <c r="C46">
        <v>102976</v>
      </c>
    </row>
    <row r="47" spans="1:3" x14ac:dyDescent="0.25">
      <c r="A47" t="s">
        <v>116</v>
      </c>
      <c r="B47" t="s">
        <v>246</v>
      </c>
      <c r="C47">
        <v>77819</v>
      </c>
    </row>
    <row r="48" spans="1:3" x14ac:dyDescent="0.25">
      <c r="A48" t="s">
        <v>116</v>
      </c>
      <c r="B48" t="s">
        <v>247</v>
      </c>
      <c r="C48">
        <v>17543</v>
      </c>
    </row>
    <row r="49" spans="1:3" x14ac:dyDescent="0.25">
      <c r="A49" t="s">
        <v>117</v>
      </c>
      <c r="B49" t="s">
        <v>241</v>
      </c>
      <c r="C49">
        <v>47479</v>
      </c>
    </row>
    <row r="50" spans="1:3" x14ac:dyDescent="0.25">
      <c r="A50" t="s">
        <v>117</v>
      </c>
      <c r="B50" t="s">
        <v>244</v>
      </c>
      <c r="C50">
        <v>125665</v>
      </c>
    </row>
    <row r="51" spans="1:3" x14ac:dyDescent="0.25">
      <c r="A51" t="s">
        <v>117</v>
      </c>
      <c r="B51" t="s">
        <v>245</v>
      </c>
      <c r="C51">
        <v>105779</v>
      </c>
    </row>
    <row r="52" spans="1:3" x14ac:dyDescent="0.25">
      <c r="A52" t="s">
        <v>117</v>
      </c>
      <c r="B52" t="s">
        <v>246</v>
      </c>
      <c r="C52">
        <v>80909</v>
      </c>
    </row>
    <row r="53" spans="1:3" x14ac:dyDescent="0.25">
      <c r="A53" t="s">
        <v>117</v>
      </c>
      <c r="B53" t="s">
        <v>247</v>
      </c>
      <c r="C53">
        <v>17746</v>
      </c>
    </row>
    <row r="54" spans="1:3" x14ac:dyDescent="0.25">
      <c r="A54" t="s">
        <v>118</v>
      </c>
      <c r="B54" t="s">
        <v>241</v>
      </c>
      <c r="C54">
        <v>52393</v>
      </c>
    </row>
    <row r="55" spans="1:3" x14ac:dyDescent="0.25">
      <c r="A55" t="s">
        <v>118</v>
      </c>
      <c r="B55" t="s">
        <v>244</v>
      </c>
      <c r="C55">
        <v>129735</v>
      </c>
    </row>
    <row r="56" spans="1:3" x14ac:dyDescent="0.25">
      <c r="A56" t="s">
        <v>118</v>
      </c>
      <c r="B56" t="s">
        <v>245</v>
      </c>
      <c r="C56">
        <v>95576</v>
      </c>
    </row>
    <row r="57" spans="1:3" x14ac:dyDescent="0.25">
      <c r="A57" t="s">
        <v>118</v>
      </c>
      <c r="B57" t="s">
        <v>246</v>
      </c>
      <c r="C57">
        <v>76864</v>
      </c>
    </row>
    <row r="58" spans="1:3" x14ac:dyDescent="0.25">
      <c r="A58" t="s">
        <v>118</v>
      </c>
      <c r="B58" t="s">
        <v>247</v>
      </c>
      <c r="C58">
        <v>17323</v>
      </c>
    </row>
    <row r="59" spans="1:3" x14ac:dyDescent="0.25">
      <c r="A59" t="s">
        <v>119</v>
      </c>
      <c r="B59" t="s">
        <v>241</v>
      </c>
      <c r="C59">
        <v>53895</v>
      </c>
    </row>
    <row r="60" spans="1:3" x14ac:dyDescent="0.25">
      <c r="A60" t="s">
        <v>119</v>
      </c>
      <c r="B60" t="s">
        <v>244</v>
      </c>
      <c r="C60">
        <v>129272</v>
      </c>
    </row>
    <row r="61" spans="1:3" x14ac:dyDescent="0.25">
      <c r="A61" t="s">
        <v>119</v>
      </c>
      <c r="B61" t="s">
        <v>245</v>
      </c>
      <c r="C61">
        <v>95724</v>
      </c>
    </row>
    <row r="62" spans="1:3" x14ac:dyDescent="0.25">
      <c r="A62" t="s">
        <v>119</v>
      </c>
      <c r="B62" t="s">
        <v>246</v>
      </c>
      <c r="C62">
        <v>76797</v>
      </c>
    </row>
    <row r="63" spans="1:3" x14ac:dyDescent="0.25">
      <c r="A63" t="s">
        <v>119</v>
      </c>
      <c r="B63" t="s">
        <v>247</v>
      </c>
      <c r="C63">
        <v>18428</v>
      </c>
    </row>
    <row r="64" spans="1:3" x14ac:dyDescent="0.25">
      <c r="A64" t="s">
        <v>120</v>
      </c>
      <c r="B64" t="s">
        <v>241</v>
      </c>
      <c r="C64">
        <v>54989</v>
      </c>
    </row>
    <row r="65" spans="1:3" x14ac:dyDescent="0.25">
      <c r="A65" t="s">
        <v>120</v>
      </c>
      <c r="B65" t="s">
        <v>244</v>
      </c>
      <c r="C65">
        <v>126779</v>
      </c>
    </row>
    <row r="66" spans="1:3" x14ac:dyDescent="0.25">
      <c r="A66" t="s">
        <v>120</v>
      </c>
      <c r="B66" t="s">
        <v>245</v>
      </c>
      <c r="C66">
        <v>97054</v>
      </c>
    </row>
    <row r="67" spans="1:3" x14ac:dyDescent="0.25">
      <c r="A67" t="s">
        <v>120</v>
      </c>
      <c r="B67" t="s">
        <v>246</v>
      </c>
      <c r="C67">
        <v>74076</v>
      </c>
    </row>
    <row r="68" spans="1:3" x14ac:dyDescent="0.25">
      <c r="A68" t="s">
        <v>120</v>
      </c>
      <c r="B68" t="s">
        <v>247</v>
      </c>
      <c r="C68">
        <v>18104</v>
      </c>
    </row>
    <row r="69" spans="1:3" x14ac:dyDescent="0.25">
      <c r="A69" t="s">
        <v>121</v>
      </c>
      <c r="B69" t="s">
        <v>241</v>
      </c>
      <c r="C69">
        <v>54075</v>
      </c>
    </row>
    <row r="70" spans="1:3" x14ac:dyDescent="0.25">
      <c r="A70" t="s">
        <v>121</v>
      </c>
      <c r="B70" t="s">
        <v>244</v>
      </c>
      <c r="C70">
        <v>128400</v>
      </c>
    </row>
    <row r="71" spans="1:3" x14ac:dyDescent="0.25">
      <c r="A71" t="s">
        <v>121</v>
      </c>
      <c r="B71" t="s">
        <v>245</v>
      </c>
      <c r="C71">
        <v>95247</v>
      </c>
    </row>
    <row r="72" spans="1:3" x14ac:dyDescent="0.25">
      <c r="A72" t="s">
        <v>121</v>
      </c>
      <c r="B72" t="s">
        <v>246</v>
      </c>
      <c r="C72">
        <v>72150</v>
      </c>
    </row>
    <row r="73" spans="1:3" x14ac:dyDescent="0.25">
      <c r="A73" t="s">
        <v>121</v>
      </c>
      <c r="B73" t="s">
        <v>247</v>
      </c>
      <c r="C73">
        <v>17874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A3A3A"/>
  </sheetPr>
  <dimension ref="A1:H20"/>
  <sheetViews>
    <sheetView workbookViewId="0">
      <pane ySplit="4" topLeftCell="A5" activePane="bottomLeft" state="frozen"/>
      <selection pane="bottomLeft" activeCell="J13" sqref="J13"/>
    </sheetView>
  </sheetViews>
  <sheetFormatPr defaultRowHeight="15" x14ac:dyDescent="0.25"/>
  <cols>
    <col min="1" max="1" width="12" customWidth="1"/>
    <col min="2" max="3" width="14" customWidth="1"/>
    <col min="4" max="5" width="16" customWidth="1"/>
    <col min="6" max="7" width="14" customWidth="1"/>
    <col min="8" max="8" width="20.28515625" customWidth="1"/>
  </cols>
  <sheetData>
    <row r="1" spans="1:8" ht="27.95" customHeight="1" x14ac:dyDescent="0.25">
      <c r="A1" s="51" t="s">
        <v>248</v>
      </c>
      <c r="B1" s="40"/>
      <c r="C1" s="40"/>
      <c r="D1" s="40"/>
      <c r="E1" s="40"/>
      <c r="F1" s="40"/>
      <c r="G1" s="40"/>
    </row>
    <row r="2" spans="1:8" ht="18" customHeight="1" x14ac:dyDescent="0.25">
      <c r="A2" s="39" t="s">
        <v>249</v>
      </c>
      <c r="B2" s="40"/>
      <c r="C2" s="40"/>
      <c r="D2" s="40"/>
      <c r="E2" s="40"/>
      <c r="F2" s="40"/>
      <c r="G2" s="40"/>
    </row>
    <row r="3" spans="1:8" ht="36" customHeight="1" x14ac:dyDescent="0.25">
      <c r="A3" s="10" t="s">
        <v>63</v>
      </c>
      <c r="B3" s="10" t="s">
        <v>250</v>
      </c>
      <c r="C3" s="10" t="s">
        <v>251</v>
      </c>
      <c r="D3" s="10" t="s">
        <v>252</v>
      </c>
      <c r="E3" s="10" t="s">
        <v>253</v>
      </c>
      <c r="F3" s="10" t="s">
        <v>254</v>
      </c>
      <c r="G3" s="10" t="s">
        <v>255</v>
      </c>
      <c r="H3" s="10" t="s">
        <v>265</v>
      </c>
    </row>
    <row r="4" spans="1:8" ht="32.1" customHeight="1" x14ac:dyDescent="0.25">
      <c r="A4" s="4" t="s">
        <v>105</v>
      </c>
      <c r="B4" s="4">
        <v>1612402.7234</v>
      </c>
      <c r="C4" s="4">
        <v>328781</v>
      </c>
      <c r="D4" s="4">
        <v>126368</v>
      </c>
      <c r="E4" s="4">
        <v>18868590</v>
      </c>
      <c r="F4" s="4" t="s">
        <v>256</v>
      </c>
      <c r="G4" s="4" t="s">
        <v>257</v>
      </c>
    </row>
    <row r="5" spans="1:8" x14ac:dyDescent="0.25">
      <c r="A5" t="s">
        <v>106</v>
      </c>
      <c r="B5">
        <v>1761358.7675000001</v>
      </c>
      <c r="C5">
        <v>328905</v>
      </c>
      <c r="D5">
        <v>126151</v>
      </c>
      <c r="E5">
        <v>21262169</v>
      </c>
      <c r="H5">
        <v>77.576446230550673</v>
      </c>
    </row>
    <row r="6" spans="1:8" x14ac:dyDescent="0.25">
      <c r="A6" t="s">
        <v>107</v>
      </c>
      <c r="B6">
        <v>1707525.5390999999</v>
      </c>
      <c r="C6">
        <v>321295</v>
      </c>
      <c r="D6">
        <v>123963</v>
      </c>
      <c r="E6">
        <v>19751172</v>
      </c>
      <c r="H6">
        <v>72.063519960618592</v>
      </c>
    </row>
    <row r="7" spans="1:8" x14ac:dyDescent="0.25">
      <c r="A7" t="s">
        <v>108</v>
      </c>
      <c r="B7">
        <v>1919528.3396999999</v>
      </c>
      <c r="C7">
        <v>328127</v>
      </c>
      <c r="D7">
        <v>127723</v>
      </c>
      <c r="E7">
        <v>21087009</v>
      </c>
      <c r="H7">
        <v>73.105225068896459</v>
      </c>
    </row>
    <row r="8" spans="1:8" x14ac:dyDescent="0.25">
      <c r="A8" t="s">
        <v>109</v>
      </c>
      <c r="B8">
        <v>1918247.6514000001</v>
      </c>
      <c r="C8">
        <v>187005</v>
      </c>
      <c r="D8">
        <v>128023</v>
      </c>
      <c r="E8">
        <v>20996500</v>
      </c>
      <c r="H8">
        <v>70.792884347131348</v>
      </c>
    </row>
    <row r="9" spans="1:8" x14ac:dyDescent="0.25">
      <c r="A9" t="s">
        <v>110</v>
      </c>
      <c r="B9">
        <v>1769086.6657</v>
      </c>
      <c r="C9">
        <v>152922</v>
      </c>
      <c r="D9">
        <v>127069</v>
      </c>
      <c r="E9">
        <v>21739138</v>
      </c>
      <c r="H9">
        <v>72.42521108539907</v>
      </c>
    </row>
    <row r="10" spans="1:8" x14ac:dyDescent="0.25">
      <c r="A10" t="s">
        <v>111</v>
      </c>
      <c r="B10">
        <v>1787515.044</v>
      </c>
      <c r="C10">
        <v>139650</v>
      </c>
      <c r="D10">
        <v>123047</v>
      </c>
      <c r="E10">
        <v>20810514</v>
      </c>
      <c r="H10">
        <v>66.684334517969219</v>
      </c>
    </row>
    <row r="11" spans="1:8" x14ac:dyDescent="0.25">
      <c r="A11" t="s">
        <v>112</v>
      </c>
      <c r="B11">
        <v>1835125.1603000001</v>
      </c>
      <c r="C11">
        <v>145229</v>
      </c>
      <c r="D11">
        <v>132957</v>
      </c>
      <c r="E11">
        <v>22740960</v>
      </c>
      <c r="H11">
        <v>75.515980050674614</v>
      </c>
    </row>
    <row r="12" spans="1:8" x14ac:dyDescent="0.25">
      <c r="A12" t="s">
        <v>113</v>
      </c>
      <c r="B12">
        <v>1780010.2493</v>
      </c>
      <c r="C12">
        <v>142618</v>
      </c>
      <c r="D12">
        <v>130405</v>
      </c>
      <c r="E12">
        <v>21923480</v>
      </c>
      <c r="H12">
        <v>68.11156084099764</v>
      </c>
    </row>
    <row r="13" spans="1:8" x14ac:dyDescent="0.25">
      <c r="A13" t="s">
        <v>114</v>
      </c>
      <c r="B13">
        <v>1843710.2141</v>
      </c>
      <c r="C13">
        <v>139593</v>
      </c>
      <c r="D13">
        <v>127973</v>
      </c>
      <c r="E13">
        <v>21571534</v>
      </c>
      <c r="H13">
        <v>68.191350856578111</v>
      </c>
    </row>
    <row r="14" spans="1:8" x14ac:dyDescent="0.25">
      <c r="A14" t="s">
        <v>115</v>
      </c>
      <c r="B14">
        <v>1796060.74</v>
      </c>
      <c r="C14">
        <v>140605</v>
      </c>
      <c r="D14">
        <v>130734</v>
      </c>
      <c r="E14">
        <v>22521091</v>
      </c>
      <c r="H14">
        <v>71.79857810718579</v>
      </c>
    </row>
    <row r="15" spans="1:8" x14ac:dyDescent="0.25">
      <c r="A15" t="s">
        <v>116</v>
      </c>
      <c r="B15">
        <v>1991164.8409</v>
      </c>
      <c r="C15">
        <v>141771</v>
      </c>
      <c r="D15">
        <v>127115</v>
      </c>
      <c r="E15">
        <v>21329362</v>
      </c>
      <c r="H15">
        <v>69.379950442871689</v>
      </c>
    </row>
    <row r="16" spans="1:8" x14ac:dyDescent="0.25">
      <c r="A16" t="s">
        <v>117</v>
      </c>
      <c r="B16">
        <v>2048065.8829999999</v>
      </c>
      <c r="C16">
        <v>147527</v>
      </c>
      <c r="D16">
        <v>132896</v>
      </c>
      <c r="E16">
        <v>22752165</v>
      </c>
      <c r="H16">
        <v>69.68985645520263</v>
      </c>
    </row>
    <row r="17" spans="1:8" x14ac:dyDescent="0.25">
      <c r="A17" t="s">
        <v>118</v>
      </c>
      <c r="B17">
        <v>1986301</v>
      </c>
      <c r="C17">
        <v>144624</v>
      </c>
      <c r="D17">
        <v>132089</v>
      </c>
      <c r="E17">
        <v>22746650</v>
      </c>
      <c r="H17">
        <v>60.981502043470002</v>
      </c>
    </row>
    <row r="18" spans="1:8" x14ac:dyDescent="0.25">
      <c r="A18" t="s">
        <v>119</v>
      </c>
      <c r="B18">
        <v>1853959</v>
      </c>
      <c r="C18">
        <v>144321</v>
      </c>
      <c r="D18">
        <v>126722</v>
      </c>
      <c r="E18">
        <v>21054108</v>
      </c>
      <c r="H18">
        <v>55.562945659705036</v>
      </c>
    </row>
    <row r="19" spans="1:8" x14ac:dyDescent="0.25">
      <c r="A19" t="s">
        <v>120</v>
      </c>
      <c r="B19">
        <v>1953787</v>
      </c>
      <c r="C19">
        <v>142127</v>
      </c>
      <c r="D19">
        <v>128699</v>
      </c>
      <c r="E19">
        <v>22398688</v>
      </c>
      <c r="H19">
        <v>64.751522038968858</v>
      </c>
    </row>
    <row r="20" spans="1:8" x14ac:dyDescent="0.25">
      <c r="A20" t="s">
        <v>121</v>
      </c>
      <c r="B20">
        <v>1911929</v>
      </c>
      <c r="C20">
        <v>145242</v>
      </c>
      <c r="D20">
        <v>126052</v>
      </c>
      <c r="E20">
        <v>21378011</v>
      </c>
      <c r="H20">
        <v>61.23788412391697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434B-7192-4358-A163-447DE5CAF0D8}">
  <sheetPr>
    <tabColor rgb="FF1F3864"/>
  </sheetPr>
  <dimension ref="A1:E81"/>
  <sheetViews>
    <sheetView workbookViewId="0">
      <selection activeCell="H7" sqref="H7"/>
    </sheetView>
  </sheetViews>
  <sheetFormatPr defaultRowHeight="15" x14ac:dyDescent="0.25"/>
  <cols>
    <col min="3" max="3" width="31.85546875" bestFit="1" customWidth="1"/>
  </cols>
  <sheetData>
    <row r="1" spans="1:5" x14ac:dyDescent="0.25">
      <c r="A1" s="17"/>
      <c r="B1" s="18"/>
      <c r="C1" s="17"/>
      <c r="D1" s="19">
        <v>46113</v>
      </c>
      <c r="E1" s="17"/>
    </row>
    <row r="2" spans="1:5" x14ac:dyDescent="0.25">
      <c r="A2" s="17"/>
      <c r="B2" s="17"/>
      <c r="C2" s="17"/>
      <c r="D2" s="17"/>
      <c r="E2" s="17"/>
    </row>
    <row r="3" spans="1:5" x14ac:dyDescent="0.25">
      <c r="A3" s="17" t="s">
        <v>266</v>
      </c>
      <c r="B3" s="18" t="s">
        <v>267</v>
      </c>
      <c r="C3" s="18" t="s">
        <v>268</v>
      </c>
      <c r="D3" s="18" t="s">
        <v>269</v>
      </c>
      <c r="E3" s="18" t="s">
        <v>270</v>
      </c>
    </row>
    <row r="4" spans="1:5" x14ac:dyDescent="0.25">
      <c r="A4" s="20">
        <v>1</v>
      </c>
      <c r="B4" s="21" t="s">
        <v>271</v>
      </c>
      <c r="C4" s="20" t="s">
        <v>272</v>
      </c>
      <c r="D4" s="22">
        <v>59181</v>
      </c>
      <c r="E4" s="23">
        <v>0.55000000000000004</v>
      </c>
    </row>
    <row r="5" spans="1:5" x14ac:dyDescent="0.25">
      <c r="A5" s="20">
        <v>2</v>
      </c>
      <c r="B5" s="21" t="s">
        <v>271</v>
      </c>
      <c r="C5" s="20" t="s">
        <v>273</v>
      </c>
      <c r="D5" s="22">
        <v>26434</v>
      </c>
      <c r="E5" s="23">
        <v>0.25</v>
      </c>
    </row>
    <row r="6" spans="1:5" x14ac:dyDescent="0.25">
      <c r="A6" s="20">
        <v>3</v>
      </c>
      <c r="B6" s="20" t="s">
        <v>271</v>
      </c>
      <c r="C6" s="20" t="s">
        <v>274</v>
      </c>
      <c r="D6" s="22">
        <v>5804</v>
      </c>
      <c r="E6" s="23">
        <v>0.05</v>
      </c>
    </row>
    <row r="7" spans="1:5" x14ac:dyDescent="0.25">
      <c r="A7" s="20">
        <v>4</v>
      </c>
      <c r="B7" s="20" t="s">
        <v>271</v>
      </c>
      <c r="C7" s="20" t="s">
        <v>275</v>
      </c>
      <c r="D7" s="22">
        <v>2605</v>
      </c>
      <c r="E7" s="23">
        <v>0.02</v>
      </c>
    </row>
    <row r="8" spans="1:5" x14ac:dyDescent="0.25">
      <c r="A8" s="20">
        <v>5</v>
      </c>
      <c r="B8" s="21" t="s">
        <v>271</v>
      </c>
      <c r="C8" s="20" t="s">
        <v>276</v>
      </c>
      <c r="D8" s="22">
        <v>1253</v>
      </c>
      <c r="E8" s="23">
        <v>0.01</v>
      </c>
    </row>
    <row r="9" spans="1:5" x14ac:dyDescent="0.25">
      <c r="A9" s="24">
        <v>6</v>
      </c>
      <c r="B9" s="24" t="s">
        <v>271</v>
      </c>
      <c r="C9" s="24" t="s">
        <v>277</v>
      </c>
      <c r="D9" s="25">
        <v>707</v>
      </c>
      <c r="E9" s="26">
        <v>0.01</v>
      </c>
    </row>
    <row r="10" spans="1:5" x14ac:dyDescent="0.25">
      <c r="A10" s="24">
        <v>7</v>
      </c>
      <c r="B10" s="27" t="s">
        <v>271</v>
      </c>
      <c r="C10" s="24" t="s">
        <v>278</v>
      </c>
      <c r="D10" s="25">
        <v>560</v>
      </c>
      <c r="E10" s="26">
        <v>0.01</v>
      </c>
    </row>
    <row r="11" spans="1:5" x14ac:dyDescent="0.25">
      <c r="A11" s="24">
        <v>8</v>
      </c>
      <c r="B11" s="24" t="s">
        <v>271</v>
      </c>
      <c r="C11" s="24" t="s">
        <v>279</v>
      </c>
      <c r="D11" s="25">
        <v>434</v>
      </c>
      <c r="E11" s="26">
        <v>0</v>
      </c>
    </row>
    <row r="12" spans="1:5" x14ac:dyDescent="0.25">
      <c r="A12" s="24">
        <v>9</v>
      </c>
      <c r="B12" s="28" t="s">
        <v>271</v>
      </c>
      <c r="C12" s="24" t="s">
        <v>280</v>
      </c>
      <c r="D12" s="25">
        <v>306</v>
      </c>
      <c r="E12" s="26">
        <v>0</v>
      </c>
    </row>
    <row r="13" spans="1:5" x14ac:dyDescent="0.25">
      <c r="A13" s="24">
        <v>10</v>
      </c>
      <c r="B13" s="24" t="s">
        <v>271</v>
      </c>
      <c r="C13" s="24" t="s">
        <v>281</v>
      </c>
      <c r="D13" s="25">
        <v>77</v>
      </c>
      <c r="E13" s="26">
        <v>0</v>
      </c>
    </row>
    <row r="14" spans="1:5" x14ac:dyDescent="0.25">
      <c r="A14" s="24">
        <v>11</v>
      </c>
      <c r="B14" s="24" t="s">
        <v>271</v>
      </c>
      <c r="C14" s="24" t="s">
        <v>282</v>
      </c>
      <c r="D14" s="25">
        <v>16</v>
      </c>
      <c r="E14" s="26">
        <v>0</v>
      </c>
    </row>
    <row r="15" spans="1:5" x14ac:dyDescent="0.25">
      <c r="A15" s="24">
        <v>12</v>
      </c>
      <c r="B15" s="27" t="s">
        <v>271</v>
      </c>
      <c r="C15" s="24" t="s">
        <v>283</v>
      </c>
      <c r="D15" s="25">
        <v>6</v>
      </c>
      <c r="E15" s="26">
        <v>0</v>
      </c>
    </row>
    <row r="16" spans="1:5" x14ac:dyDescent="0.25">
      <c r="A16" s="29">
        <v>1</v>
      </c>
      <c r="B16" s="29" t="s">
        <v>284</v>
      </c>
      <c r="C16" s="29" t="s">
        <v>285</v>
      </c>
      <c r="D16" s="30">
        <v>6365</v>
      </c>
      <c r="E16" s="31">
        <v>0.06</v>
      </c>
    </row>
    <row r="17" spans="1:5" x14ac:dyDescent="0.25">
      <c r="A17" s="29">
        <v>2</v>
      </c>
      <c r="B17" s="29" t="s">
        <v>284</v>
      </c>
      <c r="C17" s="29" t="s">
        <v>286</v>
      </c>
      <c r="D17" s="30">
        <v>1493</v>
      </c>
      <c r="E17" s="31">
        <v>0.01</v>
      </c>
    </row>
    <row r="18" spans="1:5" x14ac:dyDescent="0.25">
      <c r="A18" s="29">
        <v>3</v>
      </c>
      <c r="B18" s="29" t="s">
        <v>284</v>
      </c>
      <c r="C18" s="29" t="s">
        <v>287</v>
      </c>
      <c r="D18" s="30">
        <v>566</v>
      </c>
      <c r="E18" s="31">
        <v>0.01</v>
      </c>
    </row>
    <row r="19" spans="1:5" x14ac:dyDescent="0.25">
      <c r="A19" s="29">
        <v>4</v>
      </c>
      <c r="B19" s="29" t="s">
        <v>284</v>
      </c>
      <c r="C19" s="29" t="s">
        <v>288</v>
      </c>
      <c r="D19" s="30">
        <v>357</v>
      </c>
      <c r="E19" s="31">
        <v>0</v>
      </c>
    </row>
    <row r="20" spans="1:5" x14ac:dyDescent="0.25">
      <c r="A20" s="29">
        <v>5</v>
      </c>
      <c r="B20" s="29" t="s">
        <v>284</v>
      </c>
      <c r="C20" s="29" t="s">
        <v>289</v>
      </c>
      <c r="D20" s="30">
        <v>352</v>
      </c>
      <c r="E20" s="31">
        <v>0</v>
      </c>
    </row>
    <row r="21" spans="1:5" x14ac:dyDescent="0.25">
      <c r="A21" s="29">
        <v>6</v>
      </c>
      <c r="B21" s="29" t="s">
        <v>284</v>
      </c>
      <c r="C21" s="29" t="s">
        <v>290</v>
      </c>
      <c r="D21" s="30">
        <v>281</v>
      </c>
      <c r="E21" s="31">
        <v>0</v>
      </c>
    </row>
    <row r="22" spans="1:5" x14ac:dyDescent="0.25">
      <c r="A22" s="29">
        <v>7</v>
      </c>
      <c r="B22" s="29" t="s">
        <v>284</v>
      </c>
      <c r="C22" s="29" t="s">
        <v>291</v>
      </c>
      <c r="D22" s="30">
        <v>275</v>
      </c>
      <c r="E22" s="31">
        <v>0</v>
      </c>
    </row>
    <row r="23" spans="1:5" x14ac:dyDescent="0.25">
      <c r="A23" s="29">
        <v>8</v>
      </c>
      <c r="B23" s="29" t="s">
        <v>284</v>
      </c>
      <c r="C23" s="29" t="s">
        <v>292</v>
      </c>
      <c r="D23" s="30">
        <v>51</v>
      </c>
      <c r="E23" s="31">
        <v>0</v>
      </c>
    </row>
    <row r="24" spans="1:5" x14ac:dyDescent="0.25">
      <c r="A24" s="29">
        <v>9</v>
      </c>
      <c r="B24" s="29" t="s">
        <v>284</v>
      </c>
      <c r="C24" s="29" t="s">
        <v>293</v>
      </c>
      <c r="D24" s="30">
        <v>49</v>
      </c>
      <c r="E24" s="31">
        <v>0</v>
      </c>
    </row>
    <row r="25" spans="1:5" x14ac:dyDescent="0.25">
      <c r="A25" s="29">
        <v>10</v>
      </c>
      <c r="B25" s="29" t="s">
        <v>284</v>
      </c>
      <c r="C25" s="29" t="s">
        <v>294</v>
      </c>
      <c r="D25" s="30">
        <v>32</v>
      </c>
      <c r="E25" s="31">
        <v>0</v>
      </c>
    </row>
    <row r="26" spans="1:5" x14ac:dyDescent="0.25">
      <c r="A26" s="29">
        <v>11</v>
      </c>
      <c r="B26" s="29" t="s">
        <v>284</v>
      </c>
      <c r="C26" s="29" t="s">
        <v>295</v>
      </c>
      <c r="D26" s="30">
        <v>29</v>
      </c>
      <c r="E26" s="31">
        <v>0</v>
      </c>
    </row>
    <row r="27" spans="1:5" x14ac:dyDescent="0.25">
      <c r="A27" s="29">
        <v>12</v>
      </c>
      <c r="B27" s="29" t="s">
        <v>284</v>
      </c>
      <c r="C27" s="29" t="s">
        <v>296</v>
      </c>
      <c r="D27" s="30">
        <v>14</v>
      </c>
      <c r="E27" s="31">
        <v>0</v>
      </c>
    </row>
    <row r="28" spans="1:5" x14ac:dyDescent="0.25">
      <c r="A28" s="29">
        <v>13</v>
      </c>
      <c r="B28" s="29" t="s">
        <v>284</v>
      </c>
      <c r="C28" s="29" t="s">
        <v>297</v>
      </c>
      <c r="D28" s="30">
        <v>7</v>
      </c>
      <c r="E28" s="31">
        <v>0</v>
      </c>
    </row>
    <row r="29" spans="1:5" x14ac:dyDescent="0.25">
      <c r="A29" s="29">
        <v>14</v>
      </c>
      <c r="B29" s="29" t="s">
        <v>284</v>
      </c>
      <c r="C29" s="29" t="s">
        <v>298</v>
      </c>
      <c r="D29" s="30">
        <v>6</v>
      </c>
      <c r="E29" s="31">
        <v>0</v>
      </c>
    </row>
    <row r="30" spans="1:5" x14ac:dyDescent="0.25">
      <c r="A30" s="29">
        <v>15</v>
      </c>
      <c r="B30" s="29" t="s">
        <v>284</v>
      </c>
      <c r="C30" s="29" t="s">
        <v>299</v>
      </c>
      <c r="D30" s="30">
        <v>4</v>
      </c>
      <c r="E30" s="31">
        <v>0</v>
      </c>
    </row>
    <row r="31" spans="1:5" x14ac:dyDescent="0.25">
      <c r="A31" s="29">
        <v>16</v>
      </c>
      <c r="B31" s="29" t="s">
        <v>284</v>
      </c>
      <c r="C31" s="29" t="s">
        <v>300</v>
      </c>
      <c r="D31" s="30">
        <v>3</v>
      </c>
      <c r="E31" s="31">
        <v>0</v>
      </c>
    </row>
    <row r="32" spans="1:5" x14ac:dyDescent="0.25">
      <c r="A32" s="29">
        <v>17</v>
      </c>
      <c r="B32" s="29" t="s">
        <v>284</v>
      </c>
      <c r="C32" s="29" t="s">
        <v>301</v>
      </c>
      <c r="D32" s="30">
        <v>2</v>
      </c>
      <c r="E32" s="31">
        <v>0</v>
      </c>
    </row>
    <row r="33" spans="1:5" x14ac:dyDescent="0.25">
      <c r="A33" s="29">
        <v>17</v>
      </c>
      <c r="B33" s="29" t="s">
        <v>284</v>
      </c>
      <c r="C33" s="29" t="s">
        <v>302</v>
      </c>
      <c r="D33" s="30">
        <v>2</v>
      </c>
      <c r="E33" s="31">
        <v>0</v>
      </c>
    </row>
    <row r="34" spans="1:5" x14ac:dyDescent="0.25">
      <c r="A34" s="29">
        <v>17</v>
      </c>
      <c r="B34" s="29" t="s">
        <v>284</v>
      </c>
      <c r="C34" s="29" t="s">
        <v>303</v>
      </c>
      <c r="D34" s="30">
        <v>2</v>
      </c>
      <c r="E34" s="31">
        <v>0</v>
      </c>
    </row>
    <row r="35" spans="1:5" x14ac:dyDescent="0.25">
      <c r="A35" s="29">
        <v>20</v>
      </c>
      <c r="B35" s="29" t="s">
        <v>284</v>
      </c>
      <c r="C35" s="29" t="s">
        <v>304</v>
      </c>
      <c r="D35" s="30">
        <v>1</v>
      </c>
      <c r="E35" s="31">
        <v>0</v>
      </c>
    </row>
    <row r="36" spans="1:5" x14ac:dyDescent="0.25">
      <c r="A36" s="29">
        <v>20</v>
      </c>
      <c r="B36" s="29" t="s">
        <v>284</v>
      </c>
      <c r="C36" s="29" t="s">
        <v>305</v>
      </c>
      <c r="D36" s="30">
        <v>1</v>
      </c>
      <c r="E36" s="31">
        <v>0</v>
      </c>
    </row>
    <row r="37" spans="1:5" x14ac:dyDescent="0.25">
      <c r="A37" s="29">
        <v>22</v>
      </c>
      <c r="B37" s="29" t="s">
        <v>284</v>
      </c>
      <c r="C37" s="29" t="s">
        <v>306</v>
      </c>
      <c r="D37" s="30">
        <v>0</v>
      </c>
      <c r="E37" s="31">
        <v>0</v>
      </c>
    </row>
    <row r="38" spans="1:5" x14ac:dyDescent="0.25">
      <c r="A38" s="29">
        <v>22</v>
      </c>
      <c r="B38" s="29" t="s">
        <v>284</v>
      </c>
      <c r="C38" s="29" t="s">
        <v>307</v>
      </c>
      <c r="D38" s="30">
        <v>0</v>
      </c>
      <c r="E38" s="31">
        <v>0</v>
      </c>
    </row>
    <row r="39" spans="1:5" x14ac:dyDescent="0.25">
      <c r="A39" s="29">
        <v>22</v>
      </c>
      <c r="B39" s="29" t="s">
        <v>284</v>
      </c>
      <c r="C39" s="29" t="s">
        <v>308</v>
      </c>
      <c r="D39" s="30">
        <v>0</v>
      </c>
      <c r="E39" s="31">
        <v>0</v>
      </c>
    </row>
    <row r="40" spans="1:5" x14ac:dyDescent="0.25">
      <c r="A40" s="29">
        <v>22</v>
      </c>
      <c r="B40" s="29" t="s">
        <v>284</v>
      </c>
      <c r="C40" s="29" t="s">
        <v>309</v>
      </c>
      <c r="D40" s="30">
        <v>0</v>
      </c>
      <c r="E40" s="31">
        <v>0</v>
      </c>
    </row>
    <row r="41" spans="1:5" x14ac:dyDescent="0.25">
      <c r="A41" s="29">
        <v>22</v>
      </c>
      <c r="B41" s="29" t="s">
        <v>284</v>
      </c>
      <c r="C41" s="29" t="s">
        <v>310</v>
      </c>
      <c r="D41" s="30">
        <v>0</v>
      </c>
      <c r="E41" s="31">
        <v>0</v>
      </c>
    </row>
    <row r="42" spans="1:5" x14ac:dyDescent="0.25">
      <c r="A42" s="29">
        <v>22</v>
      </c>
      <c r="B42" s="29" t="s">
        <v>284</v>
      </c>
      <c r="C42" s="29" t="s">
        <v>311</v>
      </c>
      <c r="D42" s="30">
        <v>0</v>
      </c>
      <c r="E42" s="31">
        <v>0</v>
      </c>
    </row>
    <row r="43" spans="1:5" x14ac:dyDescent="0.25">
      <c r="A43" s="29">
        <v>22</v>
      </c>
      <c r="B43" s="29" t="s">
        <v>284</v>
      </c>
      <c r="C43" s="29" t="s">
        <v>312</v>
      </c>
      <c r="D43" s="30">
        <v>0</v>
      </c>
      <c r="E43" s="31">
        <v>0</v>
      </c>
    </row>
    <row r="44" spans="1:5" x14ac:dyDescent="0.25">
      <c r="A44" s="29">
        <v>22</v>
      </c>
      <c r="B44" s="29" t="s">
        <v>284</v>
      </c>
      <c r="C44" s="29" t="s">
        <v>313</v>
      </c>
      <c r="D44" s="30">
        <v>0</v>
      </c>
      <c r="E44" s="31">
        <v>0</v>
      </c>
    </row>
    <row r="45" spans="1:5" x14ac:dyDescent="0.25">
      <c r="A45" s="29">
        <v>22</v>
      </c>
      <c r="B45" s="29" t="s">
        <v>284</v>
      </c>
      <c r="C45" s="29" t="s">
        <v>314</v>
      </c>
      <c r="D45" s="30">
        <v>0</v>
      </c>
      <c r="E45" s="31">
        <v>0</v>
      </c>
    </row>
    <row r="46" spans="1:5" x14ac:dyDescent="0.25">
      <c r="A46" s="29">
        <v>22</v>
      </c>
      <c r="B46" s="29" t="s">
        <v>284</v>
      </c>
      <c r="C46" s="29" t="s">
        <v>315</v>
      </c>
      <c r="D46" s="30">
        <v>0</v>
      </c>
      <c r="E46" s="31">
        <v>0</v>
      </c>
    </row>
    <row r="47" spans="1:5" x14ac:dyDescent="0.25">
      <c r="A47" s="29">
        <v>22</v>
      </c>
      <c r="B47" s="29" t="s">
        <v>284</v>
      </c>
      <c r="C47" s="29" t="s">
        <v>316</v>
      </c>
      <c r="D47" s="30">
        <v>0</v>
      </c>
      <c r="E47" s="31">
        <v>0</v>
      </c>
    </row>
    <row r="48" spans="1:5" x14ac:dyDescent="0.25">
      <c r="A48" s="29">
        <v>22</v>
      </c>
      <c r="B48" s="29" t="s">
        <v>284</v>
      </c>
      <c r="C48" s="29" t="s">
        <v>317</v>
      </c>
      <c r="D48" s="30">
        <v>0</v>
      </c>
      <c r="E48" s="31">
        <v>0</v>
      </c>
    </row>
    <row r="49" spans="1:5" x14ac:dyDescent="0.25">
      <c r="A49" s="29">
        <v>22</v>
      </c>
      <c r="B49" s="29" t="s">
        <v>284</v>
      </c>
      <c r="C49" s="29" t="s">
        <v>318</v>
      </c>
      <c r="D49" s="30">
        <v>0</v>
      </c>
      <c r="E49" s="31">
        <v>0</v>
      </c>
    </row>
    <row r="50" spans="1:5" x14ac:dyDescent="0.25">
      <c r="A50" s="29">
        <v>22</v>
      </c>
      <c r="B50" s="29" t="s">
        <v>284</v>
      </c>
      <c r="C50" s="29" t="s">
        <v>319</v>
      </c>
      <c r="D50" s="30">
        <v>0</v>
      </c>
      <c r="E50" s="31">
        <v>0</v>
      </c>
    </row>
    <row r="51" spans="1:5" x14ac:dyDescent="0.25">
      <c r="A51" s="29">
        <v>22</v>
      </c>
      <c r="B51" s="29" t="s">
        <v>284</v>
      </c>
      <c r="C51" s="29" t="s">
        <v>320</v>
      </c>
      <c r="D51" s="30">
        <v>0</v>
      </c>
      <c r="E51" s="31">
        <v>0</v>
      </c>
    </row>
    <row r="52" spans="1:5" x14ac:dyDescent="0.25">
      <c r="A52" s="29">
        <v>22</v>
      </c>
      <c r="B52" s="29" t="s">
        <v>284</v>
      </c>
      <c r="C52" s="29" t="s">
        <v>321</v>
      </c>
      <c r="D52" s="30">
        <v>0</v>
      </c>
      <c r="E52" s="31">
        <v>0</v>
      </c>
    </row>
    <row r="53" spans="1:5" x14ac:dyDescent="0.25">
      <c r="A53" s="29">
        <v>22</v>
      </c>
      <c r="B53" s="29" t="s">
        <v>284</v>
      </c>
      <c r="C53" s="29" t="s">
        <v>322</v>
      </c>
      <c r="D53" s="30">
        <v>0</v>
      </c>
      <c r="E53" s="31">
        <v>0</v>
      </c>
    </row>
    <row r="54" spans="1:5" x14ac:dyDescent="0.25">
      <c r="A54" s="29">
        <v>22</v>
      </c>
      <c r="B54" s="29" t="s">
        <v>284</v>
      </c>
      <c r="C54" s="29" t="s">
        <v>323</v>
      </c>
      <c r="D54" s="30">
        <v>0</v>
      </c>
      <c r="E54" s="31">
        <v>0</v>
      </c>
    </row>
    <row r="55" spans="1:5" x14ac:dyDescent="0.25">
      <c r="A55" s="29">
        <v>22</v>
      </c>
      <c r="B55" s="29" t="s">
        <v>284</v>
      </c>
      <c r="C55" s="29" t="s">
        <v>324</v>
      </c>
      <c r="D55" s="30">
        <v>0</v>
      </c>
      <c r="E55" s="31">
        <v>0</v>
      </c>
    </row>
    <row r="56" spans="1:5" x14ac:dyDescent="0.25">
      <c r="A56" s="29">
        <v>22</v>
      </c>
      <c r="B56" s="29" t="s">
        <v>284</v>
      </c>
      <c r="C56" s="29" t="s">
        <v>325</v>
      </c>
      <c r="D56" s="30">
        <v>0</v>
      </c>
      <c r="E56" s="31">
        <v>0</v>
      </c>
    </row>
    <row r="57" spans="1:5" x14ac:dyDescent="0.25">
      <c r="A57" s="29">
        <v>22</v>
      </c>
      <c r="B57" s="29" t="s">
        <v>284</v>
      </c>
      <c r="C57" s="29" t="s">
        <v>326</v>
      </c>
      <c r="D57" s="30">
        <v>0</v>
      </c>
      <c r="E57" s="31">
        <v>0</v>
      </c>
    </row>
    <row r="58" spans="1:5" x14ac:dyDescent="0.25">
      <c r="A58" s="29">
        <v>22</v>
      </c>
      <c r="B58" s="29" t="s">
        <v>284</v>
      </c>
      <c r="C58" s="29" t="s">
        <v>327</v>
      </c>
      <c r="D58" s="30">
        <v>0</v>
      </c>
      <c r="E58" s="31">
        <v>0</v>
      </c>
    </row>
    <row r="59" spans="1:5" x14ac:dyDescent="0.25">
      <c r="A59" s="29">
        <v>22</v>
      </c>
      <c r="B59" s="29" t="s">
        <v>284</v>
      </c>
      <c r="C59" s="29" t="s">
        <v>328</v>
      </c>
      <c r="D59" s="30">
        <v>0</v>
      </c>
      <c r="E59" s="31">
        <v>0</v>
      </c>
    </row>
    <row r="60" spans="1:5" x14ac:dyDescent="0.25">
      <c r="A60" s="29">
        <v>22</v>
      </c>
      <c r="B60" s="29" t="s">
        <v>284</v>
      </c>
      <c r="C60" s="29" t="s">
        <v>329</v>
      </c>
      <c r="D60" s="30">
        <v>0</v>
      </c>
      <c r="E60" s="31">
        <v>0</v>
      </c>
    </row>
    <row r="61" spans="1:5" x14ac:dyDescent="0.25">
      <c r="A61" s="29">
        <v>22</v>
      </c>
      <c r="B61" s="29" t="s">
        <v>284</v>
      </c>
      <c r="C61" s="29" t="s">
        <v>330</v>
      </c>
      <c r="D61" s="30">
        <v>0</v>
      </c>
      <c r="E61" s="31">
        <v>0</v>
      </c>
    </row>
    <row r="62" spans="1:5" x14ac:dyDescent="0.25">
      <c r="A62" s="29">
        <v>22</v>
      </c>
      <c r="B62" s="29" t="s">
        <v>284</v>
      </c>
      <c r="C62" s="29" t="s">
        <v>331</v>
      </c>
      <c r="D62" s="30">
        <v>0</v>
      </c>
      <c r="E62" s="31">
        <v>0</v>
      </c>
    </row>
    <row r="63" spans="1:5" x14ac:dyDescent="0.25">
      <c r="A63" s="29">
        <v>22</v>
      </c>
      <c r="B63" s="29" t="s">
        <v>284</v>
      </c>
      <c r="C63" s="29" t="s">
        <v>332</v>
      </c>
      <c r="D63" s="30">
        <v>0</v>
      </c>
      <c r="E63" s="31">
        <v>0</v>
      </c>
    </row>
    <row r="64" spans="1:5" x14ac:dyDescent="0.25">
      <c r="A64" s="29">
        <v>22</v>
      </c>
      <c r="B64" s="29" t="s">
        <v>284</v>
      </c>
      <c r="C64" s="29" t="s">
        <v>333</v>
      </c>
      <c r="D64" s="30">
        <v>0</v>
      </c>
      <c r="E64" s="31">
        <v>0</v>
      </c>
    </row>
    <row r="65" spans="1:5" x14ac:dyDescent="0.25">
      <c r="A65" s="29">
        <v>22</v>
      </c>
      <c r="B65" s="29" t="s">
        <v>284</v>
      </c>
      <c r="C65" s="29" t="s">
        <v>334</v>
      </c>
      <c r="D65" s="30">
        <v>0</v>
      </c>
      <c r="E65" s="31">
        <v>0</v>
      </c>
    </row>
    <row r="66" spans="1:5" x14ac:dyDescent="0.25">
      <c r="A66" s="29">
        <v>22</v>
      </c>
      <c r="B66" s="29" t="s">
        <v>284</v>
      </c>
      <c r="C66" s="29" t="s">
        <v>335</v>
      </c>
      <c r="D66" s="30">
        <v>0</v>
      </c>
      <c r="E66" s="31">
        <v>0</v>
      </c>
    </row>
    <row r="67" spans="1:5" x14ac:dyDescent="0.25">
      <c r="A67" s="29">
        <v>22</v>
      </c>
      <c r="B67" s="29" t="s">
        <v>284</v>
      </c>
      <c r="C67" s="29" t="s">
        <v>336</v>
      </c>
      <c r="D67" s="30">
        <v>0</v>
      </c>
      <c r="E67" s="31">
        <v>0</v>
      </c>
    </row>
    <row r="68" spans="1:5" x14ac:dyDescent="0.25">
      <c r="A68" s="29">
        <v>22</v>
      </c>
      <c r="B68" s="29" t="s">
        <v>284</v>
      </c>
      <c r="C68" s="29" t="s">
        <v>337</v>
      </c>
      <c r="D68" s="30">
        <v>0</v>
      </c>
      <c r="E68" s="31">
        <v>0</v>
      </c>
    </row>
    <row r="69" spans="1:5" x14ac:dyDescent="0.25">
      <c r="A69" s="29">
        <v>22</v>
      </c>
      <c r="B69" s="29" t="s">
        <v>284</v>
      </c>
      <c r="C69" s="29" t="s">
        <v>338</v>
      </c>
      <c r="D69" s="30">
        <v>0</v>
      </c>
      <c r="E69" s="31">
        <v>0</v>
      </c>
    </row>
    <row r="70" spans="1:5" x14ac:dyDescent="0.25">
      <c r="A70" s="29">
        <v>22</v>
      </c>
      <c r="B70" s="29" t="s">
        <v>284</v>
      </c>
      <c r="C70" s="29" t="s">
        <v>339</v>
      </c>
      <c r="D70" s="30">
        <v>0</v>
      </c>
      <c r="E70" s="31">
        <v>0</v>
      </c>
    </row>
    <row r="71" spans="1:5" x14ac:dyDescent="0.25">
      <c r="A71" s="29">
        <v>22</v>
      </c>
      <c r="B71" s="29" t="s">
        <v>284</v>
      </c>
      <c r="C71" s="29" t="s">
        <v>340</v>
      </c>
      <c r="D71" s="30">
        <v>0</v>
      </c>
      <c r="E71" s="31">
        <v>0</v>
      </c>
    </row>
    <row r="72" spans="1:5" x14ac:dyDescent="0.25">
      <c r="A72" s="29">
        <v>22</v>
      </c>
      <c r="B72" s="29" t="s">
        <v>284</v>
      </c>
      <c r="C72" s="29" t="s">
        <v>341</v>
      </c>
      <c r="D72" s="30">
        <v>0</v>
      </c>
      <c r="E72" s="31">
        <v>0</v>
      </c>
    </row>
    <row r="73" spans="1:5" x14ac:dyDescent="0.25">
      <c r="A73" s="29">
        <v>22</v>
      </c>
      <c r="B73" s="29" t="s">
        <v>284</v>
      </c>
      <c r="C73" s="29" t="s">
        <v>342</v>
      </c>
      <c r="D73" s="30">
        <v>0</v>
      </c>
      <c r="E73" s="31">
        <v>0</v>
      </c>
    </row>
    <row r="74" spans="1:5" x14ac:dyDescent="0.25">
      <c r="A74" s="29">
        <v>22</v>
      </c>
      <c r="B74" s="29" t="s">
        <v>284</v>
      </c>
      <c r="C74" s="29" t="s">
        <v>343</v>
      </c>
      <c r="D74" s="30">
        <v>0</v>
      </c>
      <c r="E74" s="31">
        <v>0</v>
      </c>
    </row>
    <row r="75" spans="1:5" x14ac:dyDescent="0.25">
      <c r="A75" s="29">
        <v>22</v>
      </c>
      <c r="B75" s="29" t="s">
        <v>284</v>
      </c>
      <c r="C75" s="29" t="s">
        <v>344</v>
      </c>
      <c r="D75" s="30">
        <v>0</v>
      </c>
      <c r="E75" s="31">
        <v>0</v>
      </c>
    </row>
    <row r="76" spans="1:5" x14ac:dyDescent="0.25">
      <c r="A76" s="29">
        <v>22</v>
      </c>
      <c r="B76" s="29" t="s">
        <v>284</v>
      </c>
      <c r="C76" s="29" t="s">
        <v>345</v>
      </c>
      <c r="D76" s="30">
        <v>0</v>
      </c>
      <c r="E76" s="31">
        <v>0</v>
      </c>
    </row>
    <row r="77" spans="1:5" x14ac:dyDescent="0.25">
      <c r="A77" s="29">
        <v>22</v>
      </c>
      <c r="B77" s="29" t="s">
        <v>284</v>
      </c>
      <c r="C77" s="29" t="s">
        <v>346</v>
      </c>
      <c r="D77" s="30">
        <v>0</v>
      </c>
      <c r="E77" s="31">
        <v>0</v>
      </c>
    </row>
    <row r="78" spans="1:5" x14ac:dyDescent="0.25">
      <c r="A78" s="29">
        <v>22</v>
      </c>
      <c r="B78" s="29" t="s">
        <v>284</v>
      </c>
      <c r="C78" s="29" t="s">
        <v>347</v>
      </c>
      <c r="D78" s="30">
        <v>0</v>
      </c>
      <c r="E78" s="31">
        <v>0</v>
      </c>
    </row>
    <row r="79" spans="1:5" x14ac:dyDescent="0.25">
      <c r="A79" s="29">
        <v>22</v>
      </c>
      <c r="B79" s="29" t="s">
        <v>284</v>
      </c>
      <c r="C79" s="29" t="s">
        <v>348</v>
      </c>
      <c r="D79" s="30">
        <v>0</v>
      </c>
      <c r="E79" s="31">
        <v>0</v>
      </c>
    </row>
    <row r="80" spans="1:5" x14ac:dyDescent="0.25">
      <c r="A80" s="29">
        <v>22</v>
      </c>
      <c r="B80" s="29" t="s">
        <v>284</v>
      </c>
      <c r="C80" s="29" t="s">
        <v>349</v>
      </c>
      <c r="D80" s="30">
        <v>0</v>
      </c>
      <c r="E80" s="31">
        <v>0</v>
      </c>
    </row>
    <row r="81" spans="1:5" x14ac:dyDescent="0.25">
      <c r="A81" s="17"/>
      <c r="B81" s="17"/>
      <c r="C81" s="17"/>
      <c r="D81" s="17">
        <v>107275</v>
      </c>
      <c r="E81" s="1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A42C-C7FF-4810-AF60-EDDF50F5C455}">
  <dimension ref="A1:E62"/>
  <sheetViews>
    <sheetView topLeftCell="A3" workbookViewId="0">
      <selection activeCell="G11" sqref="G11"/>
    </sheetView>
  </sheetViews>
  <sheetFormatPr defaultRowHeight="15" x14ac:dyDescent="0.25"/>
  <cols>
    <col min="2" max="2" width="12.85546875" bestFit="1" customWidth="1"/>
    <col min="3" max="3" width="18.140625" bestFit="1" customWidth="1"/>
    <col min="4" max="4" width="39.85546875" bestFit="1" customWidth="1"/>
    <col min="5" max="5" width="7.140625" bestFit="1" customWidth="1"/>
  </cols>
  <sheetData>
    <row r="1" spans="1:5" ht="15.75" thickBot="1" x14ac:dyDescent="0.3">
      <c r="A1" s="32"/>
      <c r="B1" s="33"/>
      <c r="C1" s="33"/>
      <c r="D1" s="33"/>
      <c r="E1" s="33"/>
    </row>
    <row r="2" spans="1:5" ht="15.75" thickBot="1" x14ac:dyDescent="0.3">
      <c r="A2" s="32"/>
      <c r="B2" s="34" t="s">
        <v>350</v>
      </c>
      <c r="C2" s="34" t="s">
        <v>351</v>
      </c>
      <c r="D2" s="34" t="s">
        <v>352</v>
      </c>
      <c r="E2" s="35">
        <v>46113</v>
      </c>
    </row>
    <row r="3" spans="1:5" ht="15.75" thickBot="1" x14ac:dyDescent="0.3">
      <c r="A3" s="32"/>
      <c r="B3" s="36" t="s">
        <v>353</v>
      </c>
      <c r="C3" s="36" t="s">
        <v>354</v>
      </c>
      <c r="D3" s="36" t="s">
        <v>355</v>
      </c>
      <c r="E3" s="36">
        <v>7</v>
      </c>
    </row>
    <row r="4" spans="1:5" ht="15.75" thickBot="1" x14ac:dyDescent="0.3">
      <c r="A4" s="32"/>
      <c r="B4" s="36" t="s">
        <v>353</v>
      </c>
      <c r="C4" s="36" t="s">
        <v>354</v>
      </c>
      <c r="D4" s="36" t="s">
        <v>356</v>
      </c>
      <c r="E4" s="36">
        <v>43</v>
      </c>
    </row>
    <row r="5" spans="1:5" ht="15.75" thickBot="1" x14ac:dyDescent="0.3">
      <c r="A5" s="32"/>
      <c r="B5" s="36" t="s">
        <v>353</v>
      </c>
      <c r="C5" s="36" t="s">
        <v>354</v>
      </c>
      <c r="D5" s="36" t="s">
        <v>357</v>
      </c>
      <c r="E5" s="36">
        <v>23</v>
      </c>
    </row>
    <row r="6" spans="1:5" ht="15.75" thickBot="1" x14ac:dyDescent="0.3">
      <c r="A6" s="32"/>
      <c r="B6" s="36" t="s">
        <v>353</v>
      </c>
      <c r="C6" s="36" t="s">
        <v>354</v>
      </c>
      <c r="D6" s="36" t="s">
        <v>358</v>
      </c>
      <c r="E6" s="36">
        <v>7</v>
      </c>
    </row>
    <row r="7" spans="1:5" ht="15.75" thickBot="1" x14ac:dyDescent="0.3">
      <c r="A7" s="32"/>
      <c r="B7" s="36" t="s">
        <v>353</v>
      </c>
      <c r="C7" s="36" t="s">
        <v>354</v>
      </c>
      <c r="D7" s="36" t="s">
        <v>359</v>
      </c>
      <c r="E7" s="36" t="s">
        <v>360</v>
      </c>
    </row>
    <row r="8" spans="1:5" ht="15.75" thickBot="1" x14ac:dyDescent="0.3">
      <c r="A8" s="32"/>
      <c r="B8" s="36" t="s">
        <v>353</v>
      </c>
      <c r="C8" s="36" t="s">
        <v>354</v>
      </c>
      <c r="D8" s="36" t="s">
        <v>361</v>
      </c>
      <c r="E8" s="36" t="s">
        <v>360</v>
      </c>
    </row>
    <row r="9" spans="1:5" ht="15.75" thickBot="1" x14ac:dyDescent="0.3">
      <c r="A9" s="32"/>
      <c r="B9" s="36" t="s">
        <v>353</v>
      </c>
      <c r="C9" s="36" t="s">
        <v>354</v>
      </c>
      <c r="D9" s="36" t="s">
        <v>362</v>
      </c>
      <c r="E9" s="36">
        <v>1</v>
      </c>
    </row>
    <row r="10" spans="1:5" ht="15.75" thickBot="1" x14ac:dyDescent="0.3">
      <c r="A10" s="32"/>
      <c r="B10" s="36" t="s">
        <v>353</v>
      </c>
      <c r="C10" s="36" t="s">
        <v>354</v>
      </c>
      <c r="D10" s="36" t="s">
        <v>363</v>
      </c>
      <c r="E10" s="36">
        <v>936</v>
      </c>
    </row>
    <row r="11" spans="1:5" ht="15.75" thickBot="1" x14ac:dyDescent="0.3">
      <c r="A11" s="32"/>
      <c r="B11" s="36" t="s">
        <v>353</v>
      </c>
      <c r="C11" s="36" t="s">
        <v>354</v>
      </c>
      <c r="D11" s="36" t="s">
        <v>364</v>
      </c>
      <c r="E11" s="37">
        <v>2545</v>
      </c>
    </row>
    <row r="12" spans="1:5" ht="15.75" thickBot="1" x14ac:dyDescent="0.3">
      <c r="A12" s="32"/>
      <c r="B12" s="36" t="s">
        <v>353</v>
      </c>
      <c r="C12" s="36" t="s">
        <v>354</v>
      </c>
      <c r="D12" s="36" t="s">
        <v>365</v>
      </c>
      <c r="E12" s="37">
        <v>1207</v>
      </c>
    </row>
    <row r="13" spans="1:5" ht="15.75" thickBot="1" x14ac:dyDescent="0.3">
      <c r="A13" s="32"/>
      <c r="B13" s="36" t="s">
        <v>353</v>
      </c>
      <c r="C13" s="36" t="s">
        <v>354</v>
      </c>
      <c r="D13" s="36" t="s">
        <v>366</v>
      </c>
      <c r="E13" s="37">
        <v>1997</v>
      </c>
    </row>
    <row r="14" spans="1:5" ht="15.75" thickBot="1" x14ac:dyDescent="0.3">
      <c r="A14" s="32"/>
      <c r="B14" s="36" t="s">
        <v>353</v>
      </c>
      <c r="C14" s="36" t="s">
        <v>354</v>
      </c>
      <c r="D14" s="36" t="s">
        <v>367</v>
      </c>
      <c r="E14" s="36">
        <v>88</v>
      </c>
    </row>
    <row r="15" spans="1:5" ht="15.75" thickBot="1" x14ac:dyDescent="0.3">
      <c r="A15" s="32"/>
      <c r="B15" s="36" t="s">
        <v>353</v>
      </c>
      <c r="C15" s="36" t="s">
        <v>354</v>
      </c>
      <c r="D15" s="36" t="s">
        <v>368</v>
      </c>
      <c r="E15" s="36">
        <v>2</v>
      </c>
    </row>
    <row r="16" spans="1:5" ht="15.75" thickBot="1" x14ac:dyDescent="0.3">
      <c r="A16" s="32"/>
      <c r="B16" s="36" t="s">
        <v>353</v>
      </c>
      <c r="C16" s="36" t="s">
        <v>354</v>
      </c>
      <c r="D16" s="36" t="s">
        <v>369</v>
      </c>
      <c r="E16" s="36" t="s">
        <v>360</v>
      </c>
    </row>
    <row r="17" spans="1:5" ht="15.75" thickBot="1" x14ac:dyDescent="0.3">
      <c r="A17" s="32"/>
      <c r="B17" s="36" t="s">
        <v>353</v>
      </c>
      <c r="C17" s="36" t="s">
        <v>370</v>
      </c>
      <c r="D17" s="36" t="s">
        <v>371</v>
      </c>
      <c r="E17" s="36" t="s">
        <v>360</v>
      </c>
    </row>
    <row r="18" spans="1:5" ht="15.75" thickBot="1" x14ac:dyDescent="0.3">
      <c r="A18" s="32"/>
      <c r="B18" s="36" t="s">
        <v>353</v>
      </c>
      <c r="C18" s="36" t="s">
        <v>370</v>
      </c>
      <c r="D18" s="36" t="s">
        <v>372</v>
      </c>
      <c r="E18" s="36">
        <v>17</v>
      </c>
    </row>
    <row r="19" spans="1:5" ht="15.75" thickBot="1" x14ac:dyDescent="0.3">
      <c r="A19" s="32"/>
      <c r="B19" s="36" t="s">
        <v>353</v>
      </c>
      <c r="C19" s="36" t="s">
        <v>373</v>
      </c>
      <c r="D19" s="36" t="s">
        <v>374</v>
      </c>
      <c r="E19" s="37">
        <v>2844</v>
      </c>
    </row>
    <row r="20" spans="1:5" ht="15.75" thickBot="1" x14ac:dyDescent="0.3">
      <c r="A20" s="32"/>
      <c r="B20" s="36" t="s">
        <v>353</v>
      </c>
      <c r="C20" s="36" t="s">
        <v>370</v>
      </c>
      <c r="D20" s="36" t="s">
        <v>375</v>
      </c>
      <c r="E20" s="36">
        <v>175</v>
      </c>
    </row>
    <row r="21" spans="1:5" ht="15.75" thickBot="1" x14ac:dyDescent="0.3">
      <c r="A21" s="32"/>
      <c r="B21" s="36" t="s">
        <v>353</v>
      </c>
      <c r="C21" s="36" t="s">
        <v>370</v>
      </c>
      <c r="D21" s="36" t="s">
        <v>376</v>
      </c>
      <c r="E21" s="36">
        <v>68</v>
      </c>
    </row>
    <row r="22" spans="1:5" ht="15.75" thickBot="1" x14ac:dyDescent="0.3">
      <c r="A22" s="32"/>
      <c r="B22" s="36" t="s">
        <v>353</v>
      </c>
      <c r="C22" s="36" t="s">
        <v>370</v>
      </c>
      <c r="D22" s="36" t="s">
        <v>377</v>
      </c>
      <c r="E22" s="37">
        <v>1178</v>
      </c>
    </row>
    <row r="23" spans="1:5" ht="15.75" thickBot="1" x14ac:dyDescent="0.3">
      <c r="A23" s="32"/>
      <c r="B23" s="36" t="s">
        <v>353</v>
      </c>
      <c r="C23" s="36" t="s">
        <v>370</v>
      </c>
      <c r="D23" s="36" t="s">
        <v>378</v>
      </c>
      <c r="E23" s="36">
        <v>195</v>
      </c>
    </row>
    <row r="24" spans="1:5" ht="15.75" thickBot="1" x14ac:dyDescent="0.3">
      <c r="A24" s="32"/>
      <c r="B24" s="36" t="s">
        <v>353</v>
      </c>
      <c r="C24" s="36" t="s">
        <v>370</v>
      </c>
      <c r="D24" s="36" t="s">
        <v>379</v>
      </c>
      <c r="E24" s="36">
        <v>11</v>
      </c>
    </row>
    <row r="25" spans="1:5" ht="15.75" thickBot="1" x14ac:dyDescent="0.3">
      <c r="A25" s="32"/>
      <c r="B25" s="36" t="s">
        <v>353</v>
      </c>
      <c r="C25" s="36" t="s">
        <v>373</v>
      </c>
      <c r="D25" s="36" t="s">
        <v>380</v>
      </c>
      <c r="E25" s="37">
        <v>46368</v>
      </c>
    </row>
    <row r="26" spans="1:5" ht="15.75" thickBot="1" x14ac:dyDescent="0.3">
      <c r="A26" s="32"/>
      <c r="B26" s="36" t="s">
        <v>353</v>
      </c>
      <c r="C26" s="36" t="s">
        <v>354</v>
      </c>
      <c r="D26" s="36" t="s">
        <v>381</v>
      </c>
      <c r="E26" s="36">
        <v>1</v>
      </c>
    </row>
    <row r="27" spans="1:5" ht="15.75" thickBot="1" x14ac:dyDescent="0.3">
      <c r="A27" s="32"/>
      <c r="B27" s="36" t="s">
        <v>353</v>
      </c>
      <c r="C27" s="36" t="s">
        <v>354</v>
      </c>
      <c r="D27" s="36" t="s">
        <v>382</v>
      </c>
      <c r="E27" s="36">
        <v>9</v>
      </c>
    </row>
    <row r="28" spans="1:5" ht="15.75" thickBot="1" x14ac:dyDescent="0.3">
      <c r="A28" s="32"/>
      <c r="B28" s="36" t="s">
        <v>353</v>
      </c>
      <c r="C28" s="36" t="s">
        <v>370</v>
      </c>
      <c r="D28" s="36" t="s">
        <v>383</v>
      </c>
      <c r="E28" s="36">
        <v>1</v>
      </c>
    </row>
    <row r="29" spans="1:5" ht="15.75" thickBot="1" x14ac:dyDescent="0.3">
      <c r="A29" s="32"/>
      <c r="B29" s="36" t="s">
        <v>353</v>
      </c>
      <c r="C29" s="36" t="s">
        <v>370</v>
      </c>
      <c r="D29" s="36" t="s">
        <v>384</v>
      </c>
      <c r="E29" s="36">
        <v>2</v>
      </c>
    </row>
    <row r="30" spans="1:5" ht="15.75" thickBot="1" x14ac:dyDescent="0.3">
      <c r="A30" s="32"/>
      <c r="B30" s="36" t="s">
        <v>353</v>
      </c>
      <c r="C30" s="36" t="s">
        <v>370</v>
      </c>
      <c r="D30" s="36" t="s">
        <v>385</v>
      </c>
      <c r="E30" s="36">
        <v>1</v>
      </c>
    </row>
    <row r="31" spans="1:5" ht="15.75" thickBot="1" x14ac:dyDescent="0.3">
      <c r="A31" s="32"/>
      <c r="B31" s="36" t="s">
        <v>353</v>
      </c>
      <c r="C31" s="36" t="s">
        <v>370</v>
      </c>
      <c r="D31" s="36" t="s">
        <v>386</v>
      </c>
      <c r="E31" s="36" t="s">
        <v>360</v>
      </c>
    </row>
    <row r="32" spans="1:5" ht="15.75" thickBot="1" x14ac:dyDescent="0.3">
      <c r="A32" s="32"/>
      <c r="B32" s="36" t="s">
        <v>353</v>
      </c>
      <c r="C32" s="36" t="s">
        <v>370</v>
      </c>
      <c r="D32" s="36" t="s">
        <v>387</v>
      </c>
      <c r="E32" s="36">
        <v>31</v>
      </c>
    </row>
    <row r="33" spans="1:5" ht="15.75" thickBot="1" x14ac:dyDescent="0.3">
      <c r="A33" s="32"/>
      <c r="B33" s="36" t="s">
        <v>353</v>
      </c>
      <c r="C33" s="36" t="s">
        <v>370</v>
      </c>
      <c r="D33" s="36" t="s">
        <v>388</v>
      </c>
      <c r="E33" s="36" t="s">
        <v>360</v>
      </c>
    </row>
    <row r="34" spans="1:5" ht="15.75" thickBot="1" x14ac:dyDescent="0.3">
      <c r="A34" s="32"/>
      <c r="B34" s="36" t="s">
        <v>353</v>
      </c>
      <c r="C34" s="36" t="s">
        <v>370</v>
      </c>
      <c r="D34" s="36" t="s">
        <v>389</v>
      </c>
      <c r="E34" s="36">
        <v>32</v>
      </c>
    </row>
    <row r="35" spans="1:5" ht="15.75" thickBot="1" x14ac:dyDescent="0.3">
      <c r="A35" s="32"/>
      <c r="B35" s="36" t="s">
        <v>353</v>
      </c>
      <c r="C35" s="36" t="s">
        <v>370</v>
      </c>
      <c r="D35" s="36" t="s">
        <v>390</v>
      </c>
      <c r="E35" s="36">
        <v>2</v>
      </c>
    </row>
    <row r="36" spans="1:5" ht="15.75" thickBot="1" x14ac:dyDescent="0.3">
      <c r="A36" s="32"/>
      <c r="B36" s="36" t="s">
        <v>391</v>
      </c>
      <c r="C36" s="36" t="s">
        <v>354</v>
      </c>
      <c r="D36" s="36" t="s">
        <v>392</v>
      </c>
      <c r="E36" s="36">
        <v>1</v>
      </c>
    </row>
    <row r="37" spans="1:5" ht="15.75" thickBot="1" x14ac:dyDescent="0.3">
      <c r="A37" s="32"/>
      <c r="B37" s="36" t="s">
        <v>353</v>
      </c>
      <c r="C37" s="36" t="s">
        <v>354</v>
      </c>
      <c r="D37" s="36" t="s">
        <v>361</v>
      </c>
      <c r="E37" s="36" t="s">
        <v>360</v>
      </c>
    </row>
    <row r="38" spans="1:5" ht="15.75" thickBot="1" x14ac:dyDescent="0.3">
      <c r="A38" s="32"/>
      <c r="B38" s="36" t="s">
        <v>391</v>
      </c>
      <c r="C38" s="36" t="s">
        <v>354</v>
      </c>
      <c r="D38" s="36" t="s">
        <v>393</v>
      </c>
      <c r="E38" s="36">
        <v>6</v>
      </c>
    </row>
    <row r="39" spans="1:5" ht="15.75" thickBot="1" x14ac:dyDescent="0.3">
      <c r="A39" s="32"/>
      <c r="B39" s="36" t="s">
        <v>391</v>
      </c>
      <c r="C39" s="36" t="s">
        <v>354</v>
      </c>
      <c r="D39" s="36" t="s">
        <v>394</v>
      </c>
      <c r="E39" s="36">
        <v>11</v>
      </c>
    </row>
    <row r="40" spans="1:5" ht="15.75" thickBot="1" x14ac:dyDescent="0.3">
      <c r="A40" s="32"/>
      <c r="B40" s="36" t="s">
        <v>391</v>
      </c>
      <c r="C40" s="36" t="s">
        <v>354</v>
      </c>
      <c r="D40" s="36" t="s">
        <v>395</v>
      </c>
      <c r="E40" s="36">
        <v>428</v>
      </c>
    </row>
    <row r="41" spans="1:5" ht="15.75" thickBot="1" x14ac:dyDescent="0.3">
      <c r="A41" s="32"/>
      <c r="B41" s="36" t="s">
        <v>391</v>
      </c>
      <c r="C41" s="36" t="s">
        <v>354</v>
      </c>
      <c r="D41" s="36" t="s">
        <v>396</v>
      </c>
      <c r="E41" s="36">
        <v>5</v>
      </c>
    </row>
    <row r="42" spans="1:5" ht="15.75" thickBot="1" x14ac:dyDescent="0.3">
      <c r="A42" s="32"/>
      <c r="B42" s="36" t="s">
        <v>391</v>
      </c>
      <c r="C42" s="36" t="s">
        <v>354</v>
      </c>
      <c r="D42" s="36" t="s">
        <v>397</v>
      </c>
      <c r="E42" s="36">
        <v>89</v>
      </c>
    </row>
    <row r="43" spans="1:5" ht="15.75" thickBot="1" x14ac:dyDescent="0.3">
      <c r="A43" s="32"/>
      <c r="B43" s="36" t="s">
        <v>391</v>
      </c>
      <c r="C43" s="36" t="s">
        <v>354</v>
      </c>
      <c r="D43" s="36" t="s">
        <v>398</v>
      </c>
      <c r="E43" s="36">
        <v>157</v>
      </c>
    </row>
    <row r="44" spans="1:5" ht="15.75" thickBot="1" x14ac:dyDescent="0.3">
      <c r="A44" s="32"/>
      <c r="B44" s="36" t="s">
        <v>391</v>
      </c>
      <c r="C44" s="36" t="s">
        <v>354</v>
      </c>
      <c r="D44" s="36" t="s">
        <v>399</v>
      </c>
      <c r="E44" s="36">
        <v>325</v>
      </c>
    </row>
    <row r="45" spans="1:5" ht="15.75" thickBot="1" x14ac:dyDescent="0.3">
      <c r="A45" s="32"/>
      <c r="B45" s="36" t="s">
        <v>391</v>
      </c>
      <c r="C45" s="36" t="s">
        <v>354</v>
      </c>
      <c r="D45" s="36" t="s">
        <v>400</v>
      </c>
      <c r="E45" s="36" t="s">
        <v>360</v>
      </c>
    </row>
    <row r="46" spans="1:5" ht="15.75" thickBot="1" x14ac:dyDescent="0.3">
      <c r="A46" s="32"/>
      <c r="B46" s="36" t="s">
        <v>391</v>
      </c>
      <c r="C46" s="36" t="s">
        <v>354</v>
      </c>
      <c r="D46" s="36" t="s">
        <v>401</v>
      </c>
      <c r="E46" s="36">
        <v>108</v>
      </c>
    </row>
    <row r="47" spans="1:5" ht="15.75" thickBot="1" x14ac:dyDescent="0.3">
      <c r="A47" s="32"/>
      <c r="B47" s="36" t="s">
        <v>391</v>
      </c>
      <c r="C47" s="36" t="s">
        <v>354</v>
      </c>
      <c r="D47" s="36" t="s">
        <v>402</v>
      </c>
      <c r="E47" s="36">
        <v>5</v>
      </c>
    </row>
    <row r="48" spans="1:5" ht="15.75" thickBot="1" x14ac:dyDescent="0.3">
      <c r="A48" s="32"/>
      <c r="B48" s="36" t="s">
        <v>391</v>
      </c>
      <c r="C48" s="36" t="s">
        <v>354</v>
      </c>
      <c r="D48" s="36" t="s">
        <v>403</v>
      </c>
      <c r="E48" s="36" t="s">
        <v>360</v>
      </c>
    </row>
    <row r="49" spans="1:5" ht="15.75" thickBot="1" x14ac:dyDescent="0.3">
      <c r="A49" s="32"/>
      <c r="B49" s="36" t="s">
        <v>391</v>
      </c>
      <c r="C49" s="36" t="s">
        <v>354</v>
      </c>
      <c r="D49" s="36" t="s">
        <v>404</v>
      </c>
      <c r="E49" s="36" t="s">
        <v>360</v>
      </c>
    </row>
    <row r="50" spans="1:5" ht="15.75" thickBot="1" x14ac:dyDescent="0.3">
      <c r="A50" s="32"/>
      <c r="B50" s="36" t="s">
        <v>391</v>
      </c>
      <c r="C50" s="36" t="s">
        <v>354</v>
      </c>
      <c r="D50" s="36" t="s">
        <v>405</v>
      </c>
      <c r="E50" s="36">
        <v>152</v>
      </c>
    </row>
    <row r="51" spans="1:5" ht="15.75" thickBot="1" x14ac:dyDescent="0.3">
      <c r="A51" s="32"/>
      <c r="B51" s="36" t="s">
        <v>391</v>
      </c>
      <c r="C51" s="36" t="s">
        <v>354</v>
      </c>
      <c r="D51" s="36" t="s">
        <v>406</v>
      </c>
      <c r="E51" s="36">
        <v>14</v>
      </c>
    </row>
    <row r="52" spans="1:5" ht="15.75" thickBot="1" x14ac:dyDescent="0.3">
      <c r="A52" s="32"/>
      <c r="B52" s="36" t="s">
        <v>391</v>
      </c>
      <c r="C52" s="36" t="s">
        <v>354</v>
      </c>
      <c r="D52" s="36" t="s">
        <v>407</v>
      </c>
      <c r="E52" s="36">
        <v>2</v>
      </c>
    </row>
    <row r="53" spans="1:5" ht="15.75" thickBot="1" x14ac:dyDescent="0.3">
      <c r="A53" s="32"/>
      <c r="B53" s="36" t="s">
        <v>391</v>
      </c>
      <c r="C53" s="36" t="s">
        <v>354</v>
      </c>
      <c r="D53" s="36" t="s">
        <v>408</v>
      </c>
      <c r="E53" s="36">
        <v>3</v>
      </c>
    </row>
    <row r="54" spans="1:5" ht="15.75" thickBot="1" x14ac:dyDescent="0.3">
      <c r="A54" s="32"/>
      <c r="B54" s="36" t="s">
        <v>391</v>
      </c>
      <c r="C54" s="36" t="s">
        <v>354</v>
      </c>
      <c r="D54" s="36" t="s">
        <v>409</v>
      </c>
      <c r="E54" s="36">
        <v>21</v>
      </c>
    </row>
    <row r="55" spans="1:5" ht="15.75" thickBot="1" x14ac:dyDescent="0.3">
      <c r="A55" s="32"/>
      <c r="B55" s="36" t="s">
        <v>391</v>
      </c>
      <c r="C55" s="36" t="s">
        <v>354</v>
      </c>
      <c r="D55" s="36" t="s">
        <v>410</v>
      </c>
      <c r="E55" s="36">
        <v>1</v>
      </c>
    </row>
    <row r="56" spans="1:5" ht="15.75" thickBot="1" x14ac:dyDescent="0.3">
      <c r="A56" s="32"/>
      <c r="B56" s="36" t="s">
        <v>391</v>
      </c>
      <c r="C56" s="36" t="s">
        <v>354</v>
      </c>
      <c r="D56" s="36" t="s">
        <v>411</v>
      </c>
      <c r="E56" s="36">
        <v>6</v>
      </c>
    </row>
    <row r="57" spans="1:5" ht="15.75" thickBot="1" x14ac:dyDescent="0.3">
      <c r="A57" s="32"/>
      <c r="B57" s="36" t="s">
        <v>391</v>
      </c>
      <c r="C57" s="36" t="s">
        <v>354</v>
      </c>
      <c r="D57" s="36" t="s">
        <v>412</v>
      </c>
      <c r="E57" s="36">
        <v>6</v>
      </c>
    </row>
    <row r="58" spans="1:5" ht="15.75" thickBot="1" x14ac:dyDescent="0.3">
      <c r="A58" s="32"/>
      <c r="B58" s="36" t="s">
        <v>391</v>
      </c>
      <c r="C58" s="36" t="s">
        <v>354</v>
      </c>
      <c r="D58" s="36" t="s">
        <v>413</v>
      </c>
      <c r="E58" s="36">
        <v>90</v>
      </c>
    </row>
    <row r="59" spans="1:5" ht="15.75" thickBot="1" x14ac:dyDescent="0.3">
      <c r="A59" s="32"/>
      <c r="B59" s="36" t="s">
        <v>391</v>
      </c>
      <c r="C59" s="36" t="s">
        <v>354</v>
      </c>
      <c r="D59" s="36" t="s">
        <v>414</v>
      </c>
      <c r="E59" s="37">
        <v>15366</v>
      </c>
    </row>
    <row r="60" spans="1:5" ht="15.75" thickBot="1" x14ac:dyDescent="0.3">
      <c r="A60" s="32"/>
      <c r="B60" s="36" t="s">
        <v>391</v>
      </c>
      <c r="C60" s="36" t="s">
        <v>354</v>
      </c>
      <c r="D60" s="36" t="s">
        <v>415</v>
      </c>
      <c r="E60" s="37">
        <v>27148</v>
      </c>
    </row>
    <row r="61" spans="1:5" ht="15.75" thickBot="1" x14ac:dyDescent="0.3">
      <c r="A61" s="32"/>
      <c r="B61" s="36" t="s">
        <v>391</v>
      </c>
      <c r="C61" s="36" t="s">
        <v>354</v>
      </c>
      <c r="D61" s="36" t="s">
        <v>416</v>
      </c>
      <c r="E61" s="36">
        <v>1</v>
      </c>
    </row>
    <row r="62" spans="1:5" ht="15.75" thickBot="1" x14ac:dyDescent="0.3">
      <c r="A62" s="32"/>
      <c r="B62" s="36" t="s">
        <v>391</v>
      </c>
      <c r="C62" s="36" t="s">
        <v>354</v>
      </c>
      <c r="D62" s="36" t="s">
        <v>417</v>
      </c>
      <c r="E62" s="36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P&amp;L_Segments</vt:lpstr>
      <vt:lpstr>OPEX_Detail</vt:lpstr>
      <vt:lpstr>Consumer_Products</vt:lpstr>
      <vt:lpstr>Business_Products</vt:lpstr>
      <vt:lpstr>DPDI_Products</vt:lpstr>
      <vt:lpstr>Amplia_Commercial</vt:lpstr>
      <vt:lpstr>Cash_CAPEX</vt:lpstr>
      <vt:lpstr>Collections_Billing</vt:lpstr>
      <vt:lpstr>AR_Aging</vt:lpstr>
      <vt:lpstr>Pipeline</vt:lpstr>
      <vt:lpstr>Renewals</vt:lpstr>
      <vt:lpstr>Prepaid_ARPU_Buckets</vt:lpstr>
      <vt:lpstr>Prepaid_Data_Usage</vt:lpstr>
      <vt:lpstr>Postpaid by active Plan</vt:lpstr>
      <vt:lpstr>WTTX by 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Chad Simeon</cp:lastModifiedBy>
  <cp:revision/>
  <dcterms:created xsi:type="dcterms:W3CDTF">2026-05-18T18:38:03Z</dcterms:created>
  <dcterms:modified xsi:type="dcterms:W3CDTF">2026-05-19T00:43:24Z</dcterms:modified>
  <cp:category/>
  <cp:contentStatus/>
</cp:coreProperties>
</file>