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tsttcott-my.sharepoint.com/personal/csimeon_tstt_co_tt/Documents/Financial Analysis/TSTT_Board_Report/"/>
    </mc:Choice>
  </mc:AlternateContent>
  <xr:revisionPtr revIDLastSave="60" documentId="11_61907E3C6B01D1816FC12A40A21DC687B5F9DB09" xr6:coauthVersionLast="47" xr6:coauthVersionMax="47" xr10:uidLastSave="{CF489937-196F-4CD3-A361-5D1F3C0666AB}"/>
  <bookViews>
    <workbookView xWindow="-120" yWindow="-120" windowWidth="29040" windowHeight="15720" firstSheet="7" activeTab="8" xr2:uid="{00000000-000D-0000-FFFF-FFFF00000000}"/>
  </bookViews>
  <sheets>
    <sheet name="KPI_Summary" sheetId="1" r:id="rId1"/>
    <sheet name="Financial_Monthly" sheetId="2" r:id="rId2"/>
    <sheet name="EBITDA_Bridge" sheetId="3" r:id="rId3"/>
    <sheet name="OPEX" sheetId="4" r:id="rId4"/>
    <sheet name="PP_Plans" sheetId="5" r:id="rId5"/>
    <sheet name="WTTx_Plans" sheetId="6" r:id="rId6"/>
    <sheet name="Cash_CAPEX" sheetId="7" r:id="rId7"/>
    <sheet name="Consumer_Sales" sheetId="8" r:id="rId8"/>
    <sheet name="Business_Sales" sheetId="9" r:id="rId9"/>
    <sheet name="Business_Sales_MRR" sheetId="17" r:id="rId10"/>
    <sheet name="Pipeline" sheetId="10" r:id="rId11"/>
    <sheet name="Renewals" sheetId="11" r:id="rId12"/>
    <sheet name="DPDI" sheetId="12" r:id="rId13"/>
    <sheet name="AMPLIA_Financial" sheetId="13" r:id="rId14"/>
    <sheet name="AMPLIA_Commercial" sheetId="14" r:id="rId15"/>
    <sheet name="PnL_Breakdown" sheetId="15" r:id="rId16"/>
    <sheet name="Consumer_Usage" sheetId="16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0" i="12" l="1"/>
  <c r="C87" i="12"/>
</calcChain>
</file>

<file path=xl/sharedStrings.xml><?xml version="1.0" encoding="utf-8"?>
<sst xmlns="http://schemas.openxmlformats.org/spreadsheetml/2006/main" count="1459" uniqueCount="332">
  <si>
    <t>Month</t>
  </si>
  <si>
    <t>CONSUMER SALES_Rev</t>
  </si>
  <si>
    <t>CONSUMER SALES_Rev_AOP</t>
  </si>
  <si>
    <t>CONSUMER SALES_COS</t>
  </si>
  <si>
    <t>CONSUMER SALES_COS_AOP</t>
  </si>
  <si>
    <t>BUSINESS SALES_Rev</t>
  </si>
  <si>
    <t>BUSINESS SALES_Rev_AOP</t>
  </si>
  <si>
    <t>BUSINESS SALES_COS</t>
  </si>
  <si>
    <t>BUSINESS SALES_COS_AOP</t>
  </si>
  <si>
    <t>DPDI_Rev</t>
  </si>
  <si>
    <t>DPDI_Rev_AOP</t>
  </si>
  <si>
    <t>DPDI_COS</t>
  </si>
  <si>
    <t>DPDI_COS_AOP</t>
  </si>
  <si>
    <t>AMPLIA_Rev</t>
  </si>
  <si>
    <t>AMPLIA_Rev_AOP</t>
  </si>
  <si>
    <t>AMPLIA_COS</t>
  </si>
  <si>
    <t>AMPLIA_COS_AOP</t>
  </si>
  <si>
    <t>OTHER_Rev</t>
  </si>
  <si>
    <t>OTHER_Rev_AOP</t>
  </si>
  <si>
    <t>OTHER_COS</t>
  </si>
  <si>
    <t>OTHER_COS_AOP</t>
  </si>
  <si>
    <t>Total_Rev</t>
  </si>
  <si>
    <t>Total_Rev_AOP</t>
  </si>
  <si>
    <t>Total_COS</t>
  </si>
  <si>
    <t>Total_COS_AOP</t>
  </si>
  <si>
    <t>Total_OPEX</t>
  </si>
  <si>
    <t>Total_OPEX_AOP</t>
  </si>
  <si>
    <t>EBITDA</t>
  </si>
  <si>
    <t>EBITDA_AOP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</si>
  <si>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</si>
  <si>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</si>
  <si>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</si>
  <si>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</si>
  <si>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</si>
  <si>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</si>
  <si>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</si>
  <si>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</si>
  <si>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</si>
  <si>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</si>
  <si>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</si>
  <si>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</si>
  <si>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Apr-26</t>
  </si>
  <si>
    <t>Section</t>
  </si>
  <si>
    <t>KPI_Name</t>
  </si>
  <si>
    <t>Actual</t>
  </si>
  <si>
    <t>AOP</t>
  </si>
  <si>
    <t>PY</t>
  </si>
  <si>
    <t>Status</t>
  </si>
  <si>
    <t>Unit</t>
  </si>
  <si>
    <t>Financial</t>
  </si>
  <si>
    <t>Revenue</t>
  </si>
  <si>
    <t>🟢</t>
  </si>
  <si>
    <t>TT$M</t>
  </si>
  <si>
    <t>PAT</t>
  </si>
  <si>
    <t>EBITDA Margin</t>
  </si>
  <si>
    <t>%</t>
  </si>
  <si>
    <t>EBITDA_Margin</t>
  </si>
  <si>
    <t>Revenue_AOP</t>
  </si>
  <si>
    <t>PAT_AOP</t>
  </si>
  <si>
    <t>Revenue_PY</t>
  </si>
  <si>
    <t>EBITDA_PY</t>
  </si>
  <si>
    <t>PAT_PY</t>
  </si>
  <si>
    <t>Category</t>
  </si>
  <si>
    <t>Value</t>
  </si>
  <si>
    <t>Type</t>
  </si>
  <si>
    <t>Sort_Order</t>
  </si>
  <si>
    <t>AOP EBITDA</t>
  </si>
  <si>
    <t>Absolute</t>
  </si>
  <si>
    <t>Revenue Variance</t>
  </si>
  <si>
    <t>Positive</t>
  </si>
  <si>
    <t>Direct Costs Variance</t>
  </si>
  <si>
    <t>OPEX Variance</t>
  </si>
  <si>
    <t>Negative</t>
  </si>
  <si>
    <t>Actual EBITDA</t>
  </si>
  <si>
    <t>Total</t>
  </si>
  <si>
    <t>Plan</t>
  </si>
  <si>
    <t>Variance</t>
  </si>
  <si>
    <t>Variance_Pct</t>
  </si>
  <si>
    <t>Personnel</t>
  </si>
  <si>
    <t>Maintenance</t>
  </si>
  <si>
    <t>Consultancy &amp; Professional Fees</t>
  </si>
  <si>
    <t>Other Operating Expenses</t>
  </si>
  <si>
    <t>Bad Debt</t>
  </si>
  <si>
    <t>Advertising &amp; PR</t>
  </si>
  <si>
    <t>May-26</t>
  </si>
  <si>
    <t>Jun-26</t>
  </si>
  <si>
    <t>Jul-26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</si>
  <si>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</si>
  <si>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</si>
  <si>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</si>
  <si>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</si>
  <si>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</si>
  <si>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</si>
  <si>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</si>
  <si>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</si>
  <si>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Rank</t>
  </si>
  <si>
    <t>Legacy/Active</t>
  </si>
  <si>
    <t>Sub Count</t>
  </si>
  <si>
    <t>% of Base</t>
  </si>
  <si>
    <t>Active</t>
  </si>
  <si>
    <t>My Postpaid $295 plan</t>
  </si>
  <si>
    <t>My Postpaid $450 plan</t>
  </si>
  <si>
    <t>Premium Shared Plan - Member(s)</t>
  </si>
  <si>
    <t>Premium Shared Plan - Owner</t>
  </si>
  <si>
    <t>My Postpaid $625 plan</t>
  </si>
  <si>
    <t>TSTT Staff $199</t>
  </si>
  <si>
    <t>My Big School $150   Mar 2026</t>
  </si>
  <si>
    <t>TSTT Staff Unlimited Plan</t>
  </si>
  <si>
    <t>b-Golden $219 Plan - Jan26</t>
  </si>
  <si>
    <t>Home Phone Voice Only</t>
  </si>
  <si>
    <t>Home Phone Voice and Data Package 2</t>
  </si>
  <si>
    <t>My Postpaid $200 plan</t>
  </si>
  <si>
    <t>Legacy</t>
  </si>
  <si>
    <t>bmobile Lite</t>
  </si>
  <si>
    <t>Postpaid Shared Plan - Member(s)</t>
  </si>
  <si>
    <t>Postpaid Shared Plan - Owner</t>
  </si>
  <si>
    <t>4G Select Plan</t>
  </si>
  <si>
    <t>4G Star $239 Postpaid Plan</t>
  </si>
  <si>
    <t>Junior plan - Aug 24</t>
  </si>
  <si>
    <t>Everything LTE Premium Plan</t>
  </si>
  <si>
    <t>4G Choice Plan</t>
  </si>
  <si>
    <t>4G Preferred Plan</t>
  </si>
  <si>
    <t>Postpaid Special $75</t>
  </si>
  <si>
    <t>4G Essential Plan</t>
  </si>
  <si>
    <t>bmobile Ultra</t>
  </si>
  <si>
    <t>bmobile Mega</t>
  </si>
  <si>
    <t>Home Phone Voice and Data Package 1</t>
  </si>
  <si>
    <t>4G Elite Plan</t>
  </si>
  <si>
    <t>bmobile Family 500</t>
  </si>
  <si>
    <t>bmobile Family 250</t>
  </si>
  <si>
    <t>Postpaid Special $299 Plan</t>
  </si>
  <si>
    <t>Mobile Bundle (Post) Plan</t>
  </si>
  <si>
    <t>bmobile Corporate Employee Plan</t>
  </si>
  <si>
    <t>One Plan $275</t>
  </si>
  <si>
    <t>bmobile Lite $129</t>
  </si>
  <si>
    <t>Postpaid Student Link Plan $149</t>
  </si>
  <si>
    <t>One Plan $149</t>
  </si>
  <si>
    <t>bmobile basic</t>
  </si>
  <si>
    <t>One Plan $349</t>
  </si>
  <si>
    <t>Corporate Employee One Plan</t>
  </si>
  <si>
    <t>bmobile Family 1000</t>
  </si>
  <si>
    <t>Business User Plan 100</t>
  </si>
  <si>
    <t>Corporate Employee Value Plan - Internet</t>
  </si>
  <si>
    <t>4G Anywhere 1 with Blackberry</t>
  </si>
  <si>
    <t>4G Anywhere 2 with Blackberry</t>
  </si>
  <si>
    <t>4G Beyond Plus Blackberry</t>
  </si>
  <si>
    <t>4G Beyond Plus Mobile internet</t>
  </si>
  <si>
    <t>4G iPhone Corporate EMPLOYEE 1</t>
  </si>
  <si>
    <t>4G iPhone Postpaid 1</t>
  </si>
  <si>
    <t>4G iPhone Postpaid 2</t>
  </si>
  <si>
    <t>4G iPhone Postpaid 3</t>
  </si>
  <si>
    <t>4G Postpaid 1</t>
  </si>
  <si>
    <t>4G Postpaid 2</t>
  </si>
  <si>
    <t>4G Postpaid 3</t>
  </si>
  <si>
    <t>BBerry10 Postpaid Standard 1</t>
  </si>
  <si>
    <t>BBerry10 Postpaid Standard 2</t>
  </si>
  <si>
    <t>bmobile beyond</t>
  </si>
  <si>
    <t>bmobile bonus</t>
  </si>
  <si>
    <t>bmobile Force</t>
  </si>
  <si>
    <t>Business User Plan 275</t>
  </si>
  <si>
    <t>Business User Plan 750</t>
  </si>
  <si>
    <t>Iphone 1</t>
  </si>
  <si>
    <t>Iphone 2</t>
  </si>
  <si>
    <t>Iphone 3</t>
  </si>
  <si>
    <t>Student Plan</t>
  </si>
  <si>
    <t>UNI VALUE 300 (no pay-as-you-go data)</t>
  </si>
  <si>
    <t>VALUE 1000 Device / Phone FIN $250</t>
  </si>
  <si>
    <t>VALUE 1000 with Mobile Internet</t>
  </si>
  <si>
    <t>VALUE 300 (Pay as you go data)</t>
  </si>
  <si>
    <t>VALUE 300 (without pay-as-you-go data)</t>
  </si>
  <si>
    <t>VALUE 300 Device / Phone FIN $225</t>
  </si>
  <si>
    <t>b-Liming $200</t>
  </si>
  <si>
    <t>b-Feting $625</t>
  </si>
  <si>
    <t>b-Partying $450</t>
  </si>
  <si>
    <t>b-Pumping $295</t>
  </si>
  <si>
    <t>Elite</t>
  </si>
  <si>
    <t>Extreme plus</t>
  </si>
  <si>
    <t xml:space="preserve">Extreme  </t>
  </si>
  <si>
    <t>BILL SYSTEM</t>
  </si>
  <si>
    <t>Voice/Data/Bundle</t>
  </si>
  <si>
    <t>Package</t>
  </si>
  <si>
    <t>EOC PLAN</t>
  </si>
  <si>
    <t>Data</t>
  </si>
  <si>
    <t>20Mbps Unlimited LTE Business Internet</t>
  </si>
  <si>
    <t>10Mbps Unlimited LTE Business Internet</t>
  </si>
  <si>
    <t>6Mbps Unlimited LTE Business Internet</t>
  </si>
  <si>
    <t>2Mbps Unlimited LTE Business Internet</t>
  </si>
  <si>
    <t>Blink 1Mb/s Business</t>
  </si>
  <si>
    <t xml:space="preserve">-   </t>
  </si>
  <si>
    <t>Blink 2Mb/s Bus 3yr Promo</t>
  </si>
  <si>
    <t>Blink 4Mb/s Business</t>
  </si>
  <si>
    <t>20Mbps LTE Internet at Home</t>
  </si>
  <si>
    <t>10Mbps LTE Internet at Home (M)</t>
  </si>
  <si>
    <t>6Mbps LTE Internet at Home(M)</t>
  </si>
  <si>
    <t>4Mbps LTE Internet at Home (M)</t>
  </si>
  <si>
    <t>2Mbps LTE Internet at Home (M)</t>
  </si>
  <si>
    <t>Blink Wireless 2Mb/s Res</t>
  </si>
  <si>
    <t>Blink Wireless 5Mb/s Res</t>
  </si>
  <si>
    <t>Bundle</t>
  </si>
  <si>
    <t>Bmobile Wireless Business Bundle $449</t>
  </si>
  <si>
    <t>Bmobile Wireless Business Bundle $399</t>
  </si>
  <si>
    <t>Voice Only</t>
  </si>
  <si>
    <t>Business Line</t>
  </si>
  <si>
    <t>Bmobile Wireless $249 Double Play</t>
  </si>
  <si>
    <t>Bmobile Wireless 20Mbps Res Bundle $249</t>
  </si>
  <si>
    <t>Bmobile Wireless Residential Bundle $199</t>
  </si>
  <si>
    <t>Bmobile Wireless $169 Double Play</t>
  </si>
  <si>
    <t>Bmobile Wireless Residential Bundle $99</t>
  </si>
  <si>
    <t>Residential Line</t>
  </si>
  <si>
    <t>Management 10Mbps Wireless Internet</t>
  </si>
  <si>
    <t>Management 5Mbps Wireless Internet</t>
  </si>
  <si>
    <t>Bmobile Wireless $649 Quad Play</t>
  </si>
  <si>
    <t>Bmobile Wireless Residential Bundle $579</t>
  </si>
  <si>
    <t>Bmobile Wireless Residential Bundle $479</t>
  </si>
  <si>
    <t>Bmobile Wireless $449 Quad Play</t>
  </si>
  <si>
    <t>Bmobile Wireless Residential Bundle $349</t>
  </si>
  <si>
    <t>Bmobile Wireless $279 Triple Play</t>
  </si>
  <si>
    <t>Bmobile Wireless Residential Bundle $249</t>
  </si>
  <si>
    <t>Bmobile Wireless $229 Triple Play</t>
  </si>
  <si>
    <t>RK PLAN</t>
  </si>
  <si>
    <t>Blink 1Mb/s Bus 3yr Promo</t>
  </si>
  <si>
    <t>Blink 4Mb/s Bus 3yr Promo</t>
  </si>
  <si>
    <t>Blink Wireless 1Mb/s (Bus)</t>
  </si>
  <si>
    <t>Blink Wireless 1Mb/s (Res)</t>
  </si>
  <si>
    <t>Blink Wireless 2MB</t>
  </si>
  <si>
    <t>Blink Wireless 2Mb/s (Bus)</t>
  </si>
  <si>
    <t>Blink Wireless 2Mb/s (Res)</t>
  </si>
  <si>
    <t>Blink Wireless 2Mb/s Res 2yr</t>
  </si>
  <si>
    <t>Blink Wireless 2Mb/s Res Promo</t>
  </si>
  <si>
    <t>Blink Wireless 4Mb/s (Bus)</t>
  </si>
  <si>
    <t>Blink Wireless 512K/s (Bus)</t>
  </si>
  <si>
    <t>Blink Wireless 5MB</t>
  </si>
  <si>
    <t>Blink Wireless 5Mb/s (Res)</t>
  </si>
  <si>
    <t>Blink Wireless 5Mb/s Res 2yr</t>
  </si>
  <si>
    <t>Blink Wireless 5Mb/s Res promo</t>
  </si>
  <si>
    <t>LTE Market Pilot 2M</t>
  </si>
  <si>
    <t>LTE Market Pilot 5M</t>
  </si>
  <si>
    <t>LTE Market Pilot 9M</t>
  </si>
  <si>
    <t>LTE Wireless-2Mbs $79 Promo</t>
  </si>
  <si>
    <t>Student Wireless LTE 2Mbps</t>
  </si>
  <si>
    <t>Student Wireless LTE 5Mbps</t>
  </si>
  <si>
    <t>Unlimited LTE Broadband at Home</t>
  </si>
  <si>
    <t>6Mbps LTE Broadband at Home</t>
  </si>
  <si>
    <t>10Mbps LTE Broadband at Home</t>
  </si>
  <si>
    <t>TSTT Mgmt Emp 5Mb Package</t>
  </si>
  <si>
    <t>TSTT Mgmt Emp 10Mb Package</t>
  </si>
  <si>
    <t>Cash_Balance</t>
  </si>
  <si>
    <t>Net_Debt</t>
  </si>
  <si>
    <t>Collections_Pct</t>
  </si>
  <si>
    <t>FCF</t>
  </si>
  <si>
    <t>CAPEX_Actual</t>
  </si>
  <si>
    <t>CAPEX_Plan</t>
  </si>
  <si>
    <t>Segment</t>
  </si>
  <si>
    <t>Subscribers</t>
  </si>
  <si>
    <t>Gross_Adds</t>
  </si>
  <si>
    <t>Churn %</t>
  </si>
  <si>
    <t>Postpaid</t>
  </si>
  <si>
    <t>Prepaid</t>
  </si>
  <si>
    <t>WTTx</t>
  </si>
  <si>
    <t>TV</t>
  </si>
  <si>
    <t>Residential Security</t>
  </si>
  <si>
    <t>Other</t>
  </si>
  <si>
    <t>Gross_Profit</t>
  </si>
  <si>
    <t>GP_Margin_Pct</t>
  </si>
  <si>
    <t>Contribution</t>
  </si>
  <si>
    <t>MRR</t>
  </si>
  <si>
    <t>Direct_Costs</t>
  </si>
  <si>
    <t>Direct_Costs_AOP</t>
  </si>
  <si>
    <t>GP_AOP</t>
  </si>
  <si>
    <t>MRR_AOP</t>
  </si>
  <si>
    <t>Mobile</t>
  </si>
  <si>
    <t>Mobile_AOP</t>
  </si>
  <si>
    <t>USAGE</t>
  </si>
  <si>
    <t>USAGE_AOP</t>
  </si>
  <si>
    <t>OCC</t>
  </si>
  <si>
    <t>OCC_AOP</t>
  </si>
  <si>
    <t>Mobile_Subs</t>
  </si>
  <si>
    <t>Subs_AOP</t>
  </si>
  <si>
    <t>Circuit/Data</t>
  </si>
  <si>
    <t>Cloud</t>
  </si>
  <si>
    <t>Carrier</t>
  </si>
  <si>
    <t>Enterprise</t>
  </si>
  <si>
    <t>Security</t>
  </si>
  <si>
    <t>IoT</t>
  </si>
  <si>
    <t>Stage</t>
  </si>
  <si>
    <t>Deal_Count</t>
  </si>
  <si>
    <t>Value_TTD_M</t>
  </si>
  <si>
    <t>Avg_Deal_Size</t>
  </si>
  <si>
    <t>Win_Rate_Pct</t>
  </si>
  <si>
    <t>Customer</t>
  </si>
  <si>
    <t>Product_Service</t>
  </si>
  <si>
    <t>ACV_TTD_M</t>
  </si>
  <si>
    <t>Expiry_Date</t>
  </si>
  <si>
    <t>Risk_Level</t>
  </si>
  <si>
    <t>Action_Plan</t>
  </si>
  <si>
    <t>Product</t>
  </si>
  <si>
    <t>E-Tender</t>
  </si>
  <si>
    <t>E-Health</t>
  </si>
  <si>
    <t>E-Kiosk</t>
  </si>
  <si>
    <t>PayPr</t>
  </si>
  <si>
    <t>E-Cashbook</t>
  </si>
  <si>
    <t>E-Pay</t>
  </si>
  <si>
    <t>OPEX</t>
  </si>
  <si>
    <t>ARPU</t>
  </si>
  <si>
    <t>Gross_Additions</t>
  </si>
  <si>
    <t>Gross_Additions_AOP</t>
  </si>
  <si>
    <t>Monthly_Churn</t>
  </si>
  <si>
    <t>Churn_AOP</t>
  </si>
  <si>
    <t>Net_Port</t>
  </si>
  <si>
    <t>Channel</t>
  </si>
  <si>
    <t>Sales_Count</t>
  </si>
  <si>
    <t>Sales_Target</t>
  </si>
  <si>
    <t>Postpaid_MoU_Per_Sub</t>
  </si>
  <si>
    <t>Prepaid_MoU_Per_Sub</t>
  </si>
  <si>
    <t>Postpaid_GB_Per_Sub</t>
  </si>
  <si>
    <t>Prepaid_GB_Sub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</si>
  <si>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</si>
  <si>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</si>
  <si>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</si>
  <si>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</si>
  <si>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</si>
  <si>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</si>
  <si>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</si>
  <si>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</si>
  <si>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</si>
  <si>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</si>
  <si>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</si>
  <si>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Mar 2026</t>
  </si>
  <si>
    <t>Apr 2026</t>
  </si>
  <si>
    <t>E-Tender (Gov)</t>
  </si>
  <si>
    <t>E-Tender (Non Gov)</t>
  </si>
  <si>
    <t xml:space="preserve"> E-Fintech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</si>
</sst>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rgb="FF000000"/>
      <name val="Aptos Narrow"/>
      <family val="2"/>
    </font>
    <font>
      <b/>
      <sz val="10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  <font>
      <b/>
      <sz val="11"/>
      <name val="Candara"/>
      <family val="2"/>
    </font>
    <font>
      <sz val="11"/>
      <name val="Candara"/>
      <family val="2"/>
    </font>
    <font>
      <sz val="10"/>
      <color theme="1"/>
      <name val="Calibri"/>
      <family val="2"/>
      <scheme val="minor"/>
    </font>
    <font>
      <b/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A6C9EC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rgb="FFE8E8E8"/>
        <bgColor rgb="FF00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1" xfId="0" applyFont="1" applyBorder="1" applyAlignment="1">
      <alignment horizontal="center" vertical="top"/>
    </xf>
    <xf numFmtId="3" fontId="0" fillId="0" borderId="0" xfId="0" applyNumberFormat="1"/>
    <xf numFmtId="0" fontId="2" fillId="0" borderId="0" xfId="0" applyFont="1"/>
    <xf numFmtId="0" fontId="3" fillId="0" borderId="0" xfId="0" applyFont="1"/>
    <xf numFmtId="17" fontId="3" fillId="0" borderId="0" xfId="0" applyNumberFormat="1" applyFont="1"/>
    <xf numFmtId="0" fontId="2" fillId="2" borderId="0" xfId="0" applyFont="1" applyFill="1"/>
    <xf numFmtId="0" fontId="4" fillId="2" borderId="0" xfId="0" applyFont="1" applyFill="1"/>
    <xf numFmtId="0" fontId="4" fillId="2" borderId="0" xfId="0" applyFont="1" applyFill="1" applyAlignment="1">
      <alignment horizontal="right"/>
    </xf>
    <xf numFmtId="9" fontId="2" fillId="2" borderId="0" xfId="0" applyNumberFormat="1" applyFont="1" applyFill="1"/>
    <xf numFmtId="0" fontId="2" fillId="3" borderId="0" xfId="0" applyFont="1" applyFill="1"/>
    <xf numFmtId="0" fontId="4" fillId="3" borderId="0" xfId="0" applyFont="1" applyFill="1" applyAlignment="1">
      <alignment horizontal="right"/>
    </xf>
    <xf numFmtId="9" fontId="2" fillId="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horizontal="left"/>
    </xf>
    <xf numFmtId="0" fontId="2" fillId="4" borderId="0" xfId="0" applyFont="1" applyFill="1"/>
    <xf numFmtId="0" fontId="4" fillId="4" borderId="0" xfId="0" applyFont="1" applyFill="1" applyAlignment="1">
      <alignment horizontal="right"/>
    </xf>
    <xf numFmtId="9" fontId="2" fillId="4" borderId="0" xfId="0" applyNumberFormat="1" applyFont="1" applyFill="1"/>
    <xf numFmtId="0" fontId="4" fillId="0" borderId="0" xfId="0" applyFont="1"/>
    <xf numFmtId="0" fontId="5" fillId="0" borderId="0" xfId="0" applyFont="1"/>
    <xf numFmtId="0" fontId="6" fillId="0" borderId="2" xfId="0" applyFont="1" applyBorder="1"/>
    <xf numFmtId="17" fontId="5" fillId="0" borderId="0" xfId="0" applyNumberFormat="1" applyFont="1"/>
    <xf numFmtId="0" fontId="7" fillId="0" borderId="2" xfId="0" applyFont="1" applyBorder="1"/>
    <xf numFmtId="3" fontId="7" fillId="0" borderId="2" xfId="0" applyNumberFormat="1" applyFont="1" applyBorder="1"/>
    <xf numFmtId="10" fontId="8" fillId="0" borderId="0" xfId="0" applyNumberFormat="1" applyFont="1"/>
    <xf numFmtId="3" fontId="8" fillId="0" borderId="0" xfId="0" applyNumberFormat="1" applyFont="1"/>
    <xf numFmtId="0" fontId="8" fillId="0" borderId="0" xfId="0" applyFont="1"/>
    <xf numFmtId="0" fontId="9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workbookViewId="0">
      <selection activeCell="F13" sqref="F13"/>
    </sheetView>
  </sheetViews>
  <sheetFormatPr defaultRowHeight="15" x14ac:dyDescent="0.25"/>
  <sheetData>
    <row r="1" spans="1:8" x14ac:dyDescent="0.25">
      <c r="A1" s="1" t="s">
        <v>0</v>
      </c>
      <c r="B1" s="1" t="s">
        <v>42</v>
      </c>
      <c r="C1" s="1" t="s">
        <v>43</v>
      </c>
      <c r="D1" s="1" t="s">
        <v>44</v>
      </c>
      <c r="E1" s="1" t="s">
        <v>45</v>
      </c>
      <c r="F1" s="1" t="s">
        <v>46</v>
      </c>
      <c r="G1" s="1" t="s">
        <v>47</v>
      </c>
      <c r="H1" s="1" t="s">
        <v>48</v>
      </c>
    </row>
    <row r="2" spans="1:8" x14ac:dyDescent="0.25">
      <c r="A2" t="s">
        <v>41</v>
      </c>
      <c r="B2" t="s">
        <v>49</v>
      </c>
      <c r="C2" t="s">
        <v>50</v>
      </c>
      <c r="D2">
        <v>166493245.03999999</v>
      </c>
      <c r="E2">
        <v>153681628.02076551</v>
      </c>
      <c r="F2">
        <v>161513581.53</v>
      </c>
      <c r="G2" t="s">
        <v>51</v>
      </c>
      <c r="H2" t="s">
        <v>52</v>
      </c>
    </row>
    <row r="3" spans="1:8" x14ac:dyDescent="0.25">
      <c r="A3" t="s">
        <v>41</v>
      </c>
      <c r="B3" t="s">
        <v>49</v>
      </c>
      <c r="C3" t="s">
        <v>27</v>
      </c>
      <c r="D3">
        <v>80592075.969999999</v>
      </c>
      <c r="E3">
        <v>57125083.916100577</v>
      </c>
      <c r="F3">
        <v>70625668.580000043</v>
      </c>
      <c r="G3" t="s">
        <v>51</v>
      </c>
      <c r="H3" t="s">
        <v>52</v>
      </c>
    </row>
    <row r="4" spans="1:8" x14ac:dyDescent="0.25">
      <c r="A4" t="s">
        <v>41</v>
      </c>
      <c r="B4" t="s">
        <v>49</v>
      </c>
      <c r="C4" t="s">
        <v>53</v>
      </c>
      <c r="D4">
        <v>21926019.510000002</v>
      </c>
      <c r="E4">
        <v>-26917730.621568371</v>
      </c>
      <c r="F4">
        <v>14592872.860000079</v>
      </c>
      <c r="G4" t="s">
        <v>51</v>
      </c>
      <c r="H4" t="s">
        <v>52</v>
      </c>
    </row>
    <row r="5" spans="1:8" x14ac:dyDescent="0.25">
      <c r="A5" t="s">
        <v>41</v>
      </c>
      <c r="B5" t="s">
        <v>49</v>
      </c>
      <c r="C5" t="s">
        <v>54</v>
      </c>
      <c r="D5">
        <v>0.48405613062943043</v>
      </c>
      <c r="E5">
        <v>0.3717105593674595</v>
      </c>
      <c r="F5">
        <v>0.43727386830860299</v>
      </c>
      <c r="G5" t="s">
        <v>51</v>
      </c>
      <c r="H5" t="s">
        <v>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workbookViewId="0"/>
  </sheetViews>
  <sheetFormatPr defaultRowHeight="15" x14ac:dyDescent="0.25"/>
  <sheetData>
    <row r="1" spans="1:11" x14ac:dyDescent="0.25">
      <c r="A1" s="1" t="s">
        <v>0</v>
      </c>
      <c r="B1" s="1" t="s">
        <v>50</v>
      </c>
      <c r="C1" s="1" t="s">
        <v>27</v>
      </c>
      <c r="D1" s="1" t="s">
        <v>53</v>
      </c>
      <c r="E1" s="1" t="s">
        <v>56</v>
      </c>
      <c r="F1" s="1" t="s">
        <v>57</v>
      </c>
      <c r="G1" s="1" t="s">
        <v>28</v>
      </c>
      <c r="H1" s="1" t="s">
        <v>58</v>
      </c>
      <c r="I1" s="1" t="s">
        <v>59</v>
      </c>
      <c r="J1" s="1" t="s">
        <v>60</v>
      </c>
      <c r="K1" s="1" t="s">
        <v>61</v>
      </c>
    </row>
    <row r="2" spans="1:11" x14ac:dyDescent="0.25">
      <c r="A2" t="s">
        <v>29</v>
      </c>
      <c r="B2">
        <v>161513581.53</v>
      </c>
      <c r="C2">
        <v>70625668.580000043</v>
      </c>
      <c r="D2">
        <v>14592872.860000079</v>
      </c>
      <c r="E2">
        <v>0.43727386830860299</v>
      </c>
      <c r="I2">
        <v>159174265.27000001</v>
      </c>
      <c r="J2">
        <v>73564739.000000015</v>
      </c>
      <c r="K2">
        <v>10044226.02000002</v>
      </c>
    </row>
    <row r="3" spans="1:11" x14ac:dyDescent="0.25">
      <c r="A3" t="s">
        <v>30</v>
      </c>
      <c r="B3">
        <v>164188116.11000001</v>
      </c>
      <c r="C3">
        <v>66878419.695035979</v>
      </c>
      <c r="D3">
        <v>6956607.8150359839</v>
      </c>
      <c r="E3">
        <v>0.40732801666492052</v>
      </c>
      <c r="I3">
        <v>171115783.94</v>
      </c>
      <c r="J3">
        <v>66285564.942907393</v>
      </c>
      <c r="K3">
        <v>22006222.982907388</v>
      </c>
    </row>
    <row r="4" spans="1:11" x14ac:dyDescent="0.25">
      <c r="A4" t="s">
        <v>31</v>
      </c>
      <c r="B4">
        <v>165063896.12</v>
      </c>
      <c r="C4">
        <v>82957229.076000005</v>
      </c>
      <c r="D4">
        <v>34397166.906000033</v>
      </c>
      <c r="E4">
        <v>0.50257646296977521</v>
      </c>
      <c r="I4">
        <v>156481421.44</v>
      </c>
      <c r="J4">
        <v>74380316.428000003</v>
      </c>
      <c r="K4">
        <v>9315861.1779999845</v>
      </c>
    </row>
    <row r="5" spans="1:11" x14ac:dyDescent="0.25">
      <c r="A5" t="s">
        <v>32</v>
      </c>
      <c r="B5">
        <v>165461792.16999999</v>
      </c>
      <c r="C5">
        <v>77217920.582595378</v>
      </c>
      <c r="D5">
        <v>13287133.22259536</v>
      </c>
      <c r="E5">
        <v>0.4666812777131023</v>
      </c>
      <c r="I5">
        <v>189874779.75999999</v>
      </c>
      <c r="J5">
        <v>70544430.305389717</v>
      </c>
      <c r="K5">
        <v>19044890.615389701</v>
      </c>
    </row>
    <row r="6" spans="1:11" x14ac:dyDescent="0.25">
      <c r="A6" t="s">
        <v>33</v>
      </c>
      <c r="B6">
        <v>168114139.21000001</v>
      </c>
      <c r="C6">
        <v>87175279.613343418</v>
      </c>
      <c r="D6">
        <v>34131870.173343398</v>
      </c>
      <c r="E6">
        <v>0.51854817222986993</v>
      </c>
      <c r="I6">
        <v>166311231.94999999</v>
      </c>
      <c r="J6">
        <v>70636979.729999974</v>
      </c>
      <c r="K6">
        <v>6918395.0099999122</v>
      </c>
    </row>
    <row r="7" spans="1:11" x14ac:dyDescent="0.25">
      <c r="A7" t="s">
        <v>34</v>
      </c>
      <c r="B7">
        <v>165003060.18000001</v>
      </c>
      <c r="C7">
        <v>53343312.770000011</v>
      </c>
      <c r="D7">
        <v>-697957.29999998212</v>
      </c>
      <c r="E7">
        <v>0.32328680881317218</v>
      </c>
      <c r="I7">
        <v>166133918.47999999</v>
      </c>
      <c r="J7">
        <v>64642736.929999962</v>
      </c>
      <c r="K7">
        <v>7387146.5899999086</v>
      </c>
    </row>
    <row r="8" spans="1:11" x14ac:dyDescent="0.25">
      <c r="A8" t="s">
        <v>35</v>
      </c>
      <c r="B8">
        <v>164228182.28999999</v>
      </c>
      <c r="C8">
        <v>87917309.379999965</v>
      </c>
      <c r="D8">
        <v>28493819.769999981</v>
      </c>
      <c r="E8">
        <v>0.53533631167367157</v>
      </c>
      <c r="I8">
        <v>162482252.18000001</v>
      </c>
      <c r="J8">
        <v>72733534.879999995</v>
      </c>
      <c r="K8">
        <v>14468999.812439971</v>
      </c>
    </row>
    <row r="9" spans="1:11" x14ac:dyDescent="0.25">
      <c r="A9" t="s">
        <v>36</v>
      </c>
      <c r="B9">
        <v>162138200.08000001</v>
      </c>
      <c r="C9">
        <v>55622267.49000001</v>
      </c>
      <c r="D9">
        <v>6836433.6051899558</v>
      </c>
      <c r="E9">
        <v>0.34305467473152917</v>
      </c>
      <c r="I9">
        <v>164022306.72</v>
      </c>
      <c r="J9">
        <v>71998876.340000004</v>
      </c>
      <c r="K9">
        <v>15849117.78999996</v>
      </c>
    </row>
    <row r="10" spans="1:11" x14ac:dyDescent="0.25">
      <c r="A10" t="s">
        <v>37</v>
      </c>
      <c r="B10">
        <v>223865976.34999999</v>
      </c>
      <c r="C10">
        <v>67899678.319999993</v>
      </c>
      <c r="D10">
        <v>-283401.6400000006</v>
      </c>
      <c r="E10">
        <v>0.30330503735790221</v>
      </c>
      <c r="I10">
        <v>162105315.02000001</v>
      </c>
      <c r="J10">
        <v>63956887.480000019</v>
      </c>
      <c r="K10">
        <v>8195929.1000000238</v>
      </c>
    </row>
    <row r="11" spans="1:11" x14ac:dyDescent="0.25">
      <c r="A11" t="s">
        <v>38</v>
      </c>
      <c r="B11">
        <v>189426200.56189251</v>
      </c>
      <c r="C11">
        <v>79538114.547642499</v>
      </c>
      <c r="D11">
        <v>37059795.087642498</v>
      </c>
      <c r="E11">
        <v>0.41988972123027141</v>
      </c>
      <c r="I11">
        <v>157291107.71000001</v>
      </c>
      <c r="J11">
        <v>43258430.550000027</v>
      </c>
      <c r="K11">
        <v>586080.23000001535</v>
      </c>
    </row>
    <row r="12" spans="1:11" x14ac:dyDescent="0.25">
      <c r="A12" t="s">
        <v>39</v>
      </c>
      <c r="B12">
        <v>216028154.09</v>
      </c>
      <c r="C12">
        <v>78514328.513911694</v>
      </c>
      <c r="D12">
        <v>22584868.0239117</v>
      </c>
      <c r="E12">
        <v>0.36344488913792988</v>
      </c>
      <c r="I12">
        <v>153534324.86000001</v>
      </c>
      <c r="J12">
        <v>88495202.26000002</v>
      </c>
      <c r="K12">
        <v>30796505.640000012</v>
      </c>
    </row>
    <row r="13" spans="1:11" x14ac:dyDescent="0.25">
      <c r="A13" t="s">
        <v>40</v>
      </c>
      <c r="B13">
        <v>219588802.66</v>
      </c>
      <c r="C13">
        <v>94757981.729999974</v>
      </c>
      <c r="D13">
        <v>14654368.609999999</v>
      </c>
      <c r="E13">
        <v>0.43152465235997639</v>
      </c>
      <c r="I13">
        <v>49698939.200000003</v>
      </c>
      <c r="J13">
        <v>-714412339.51999998</v>
      </c>
      <c r="K13">
        <v>-714412339.51999998</v>
      </c>
    </row>
    <row r="14" spans="1:11" x14ac:dyDescent="0.25">
      <c r="A14" t="s">
        <v>41</v>
      </c>
      <c r="B14">
        <v>166493245.03999999</v>
      </c>
      <c r="C14">
        <v>80592075.969999999</v>
      </c>
      <c r="D14">
        <v>21926019.510000002</v>
      </c>
      <c r="E14">
        <v>0.48405613062943043</v>
      </c>
      <c r="F14">
        <v>153681628.02076551</v>
      </c>
      <c r="G14">
        <v>57125083.916100577</v>
      </c>
      <c r="H14">
        <v>-26917730.621568371</v>
      </c>
      <c r="I14">
        <v>161513581.53</v>
      </c>
      <c r="J14">
        <v>70625668.580000043</v>
      </c>
      <c r="K14">
        <v>14592872.860000079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>
      <selection activeCell="H37" sqref="H37"/>
    </sheetView>
  </sheetViews>
  <sheetFormatPr defaultRowHeight="15" x14ac:dyDescent="0.25"/>
  <sheetData>
    <row r="1" spans="1:4" x14ac:dyDescent="0.25">
      <c r="A1" s="1" t="s">
        <v>62</v>
      </c>
      <c r="B1" s="1" t="s">
        <v>63</v>
      </c>
      <c r="C1" s="1" t="s">
        <v>64</v>
      </c>
      <c r="D1" s="1" t="s">
        <v>65</v>
      </c>
    </row>
    <row r="2" spans="1:4" x14ac:dyDescent="0.25">
      <c r="A2" t="s">
        <v>66</v>
      </c>
      <c r="B2">
        <v>57125083.916100577</v>
      </c>
      <c r="C2" t="s">
        <v>67</v>
      </c>
      <c r="D2">
        <v>1</v>
      </c>
    </row>
    <row r="3" spans="1:4" x14ac:dyDescent="0.25">
      <c r="A3" t="s">
        <v>68</v>
      </c>
      <c r="B3">
        <v>12811617.01923448</v>
      </c>
      <c r="C3" t="s">
        <v>69</v>
      </c>
      <c r="D3">
        <v>2</v>
      </c>
    </row>
    <row r="4" spans="1:4" x14ac:dyDescent="0.25">
      <c r="A4" t="s">
        <v>70</v>
      </c>
      <c r="B4">
        <v>9561455.3937712349</v>
      </c>
      <c r="C4" t="s">
        <v>69</v>
      </c>
      <c r="D4">
        <v>3</v>
      </c>
    </row>
    <row r="5" spans="1:4" x14ac:dyDescent="0.25">
      <c r="A5" t="s">
        <v>71</v>
      </c>
      <c r="B5">
        <v>-19283360.138436168</v>
      </c>
      <c r="C5" t="s">
        <v>72</v>
      </c>
      <c r="D5">
        <v>4</v>
      </c>
    </row>
    <row r="6" spans="1:4" x14ac:dyDescent="0.25">
      <c r="A6" t="s">
        <v>73</v>
      </c>
      <c r="B6">
        <v>0</v>
      </c>
      <c r="C6" t="s">
        <v>74</v>
      </c>
      <c r="D6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5"/>
  <sheetViews>
    <sheetView topLeftCell="A55" workbookViewId="0">
      <selection activeCell="M72" sqref="M72:O76"/>
    </sheetView>
  </sheetViews>
  <sheetFormatPr defaultRowHeight="15" x14ac:dyDescent="0.25"/>
  <cols>
    <col min="1" max="1" width="7.42578125" bestFit="1" customWidth="1"/>
    <col min="2" max="2" width="30.28515625" bestFit="1" customWidth="1"/>
    <col min="3" max="3" width="12.7109375" bestFit="1" customWidth="1"/>
    <col min="4" max="4" width="12" bestFit="1" customWidth="1"/>
  </cols>
  <sheetData>
    <row r="1" spans="1:6" x14ac:dyDescent="0.25">
      <c r="A1" s="1" t="s">
        <v>0</v>
      </c>
      <c r="B1" s="1" t="s">
        <v>62</v>
      </c>
      <c r="C1" s="1" t="s">
        <v>44</v>
      </c>
      <c r="D1" s="1" t="s">
        <v>75</v>
      </c>
      <c r="E1" s="1" t="s">
        <v>76</v>
      </c>
      <c r="F1" s="1" t="s">
        <v>77</v>
      </c>
    </row>
    <row r="2" spans="1:6" x14ac:dyDescent="0.25">
      <c r="A2" t="s">
        <v>29</v>
      </c>
      <c r="B2" t="s">
        <v>78</v>
      </c>
      <c r="C2">
        <v>19177303.91</v>
      </c>
      <c r="E2">
        <v>0</v>
      </c>
      <c r="F2">
        <v>0</v>
      </c>
    </row>
    <row r="3" spans="1:6" x14ac:dyDescent="0.25">
      <c r="A3" t="s">
        <v>29</v>
      </c>
      <c r="B3" t="s">
        <v>79</v>
      </c>
      <c r="C3">
        <v>22798838.079999998</v>
      </c>
      <c r="E3">
        <v>0</v>
      </c>
      <c r="F3">
        <v>0</v>
      </c>
    </row>
    <row r="4" spans="1:6" x14ac:dyDescent="0.25">
      <c r="A4" t="s">
        <v>29</v>
      </c>
      <c r="B4" t="s">
        <v>80</v>
      </c>
      <c r="E4">
        <v>0</v>
      </c>
      <c r="F4">
        <v>0</v>
      </c>
    </row>
    <row r="5" spans="1:6" x14ac:dyDescent="0.25">
      <c r="A5" t="s">
        <v>29</v>
      </c>
      <c r="B5" t="s">
        <v>81</v>
      </c>
      <c r="C5">
        <v>25999329.579999998</v>
      </c>
      <c r="E5">
        <v>0</v>
      </c>
      <c r="F5">
        <v>0</v>
      </c>
    </row>
    <row r="6" spans="1:6" x14ac:dyDescent="0.25">
      <c r="A6" t="s">
        <v>29</v>
      </c>
      <c r="B6" t="s">
        <v>82</v>
      </c>
      <c r="C6">
        <v>2558987.34</v>
      </c>
      <c r="E6">
        <v>0</v>
      </c>
      <c r="F6">
        <v>0</v>
      </c>
    </row>
    <row r="7" spans="1:6" x14ac:dyDescent="0.25">
      <c r="A7" t="s">
        <v>29</v>
      </c>
      <c r="B7" t="s">
        <v>83</v>
      </c>
      <c r="E7">
        <v>0</v>
      </c>
      <c r="F7">
        <v>0</v>
      </c>
    </row>
    <row r="8" spans="1:6" x14ac:dyDescent="0.25">
      <c r="A8" t="s">
        <v>30</v>
      </c>
      <c r="B8" t="s">
        <v>78</v>
      </c>
      <c r="C8">
        <v>16866294.79496403</v>
      </c>
      <c r="E8">
        <v>0</v>
      </c>
      <c r="F8">
        <v>0</v>
      </c>
    </row>
    <row r="9" spans="1:6" x14ac:dyDescent="0.25">
      <c r="A9" t="s">
        <v>30</v>
      </c>
      <c r="B9" t="s">
        <v>79</v>
      </c>
      <c r="C9">
        <v>24192810.219999999</v>
      </c>
      <c r="E9">
        <v>0</v>
      </c>
      <c r="F9">
        <v>0</v>
      </c>
    </row>
    <row r="10" spans="1:6" x14ac:dyDescent="0.25">
      <c r="A10" t="s">
        <v>30</v>
      </c>
      <c r="B10" t="s">
        <v>80</v>
      </c>
      <c r="E10">
        <v>0</v>
      </c>
      <c r="F10">
        <v>0</v>
      </c>
    </row>
    <row r="11" spans="1:6" x14ac:dyDescent="0.25">
      <c r="A11" t="s">
        <v>30</v>
      </c>
      <c r="B11" t="s">
        <v>81</v>
      </c>
      <c r="C11">
        <v>32324520.080000009</v>
      </c>
      <c r="E11">
        <v>0</v>
      </c>
      <c r="F11">
        <v>0</v>
      </c>
    </row>
    <row r="12" spans="1:6" x14ac:dyDescent="0.25">
      <c r="A12" t="s">
        <v>30</v>
      </c>
      <c r="B12" t="s">
        <v>82</v>
      </c>
      <c r="C12">
        <v>2426943.79</v>
      </c>
      <c r="E12">
        <v>0</v>
      </c>
      <c r="F12">
        <v>0</v>
      </c>
    </row>
    <row r="13" spans="1:6" x14ac:dyDescent="0.25">
      <c r="A13" t="s">
        <v>30</v>
      </c>
      <c r="B13" t="s">
        <v>83</v>
      </c>
      <c r="E13">
        <v>0</v>
      </c>
      <c r="F13">
        <v>0</v>
      </c>
    </row>
    <row r="14" spans="1:6" x14ac:dyDescent="0.25">
      <c r="A14" t="s">
        <v>31</v>
      </c>
      <c r="B14" t="s">
        <v>78</v>
      </c>
      <c r="C14">
        <v>18338058.403999999</v>
      </c>
      <c r="E14">
        <v>0</v>
      </c>
      <c r="F14">
        <v>0</v>
      </c>
    </row>
    <row r="15" spans="1:6" x14ac:dyDescent="0.25">
      <c r="A15" t="s">
        <v>31</v>
      </c>
      <c r="B15" t="s">
        <v>79</v>
      </c>
      <c r="C15">
        <v>19811291.25</v>
      </c>
      <c r="E15">
        <v>0</v>
      </c>
      <c r="F15">
        <v>0</v>
      </c>
    </row>
    <row r="16" spans="1:6" x14ac:dyDescent="0.25">
      <c r="A16" t="s">
        <v>31</v>
      </c>
      <c r="B16" t="s">
        <v>80</v>
      </c>
      <c r="E16">
        <v>0</v>
      </c>
      <c r="F16">
        <v>0</v>
      </c>
    </row>
    <row r="17" spans="1:6" x14ac:dyDescent="0.25">
      <c r="A17" t="s">
        <v>31</v>
      </c>
      <c r="B17" t="s">
        <v>81</v>
      </c>
      <c r="C17">
        <v>19931554.91</v>
      </c>
      <c r="E17">
        <v>0</v>
      </c>
      <c r="F17">
        <v>0</v>
      </c>
    </row>
    <row r="18" spans="1:6" x14ac:dyDescent="0.25">
      <c r="A18" t="s">
        <v>31</v>
      </c>
      <c r="B18" t="s">
        <v>82</v>
      </c>
      <c r="C18">
        <v>3058121.92</v>
      </c>
      <c r="E18">
        <v>0</v>
      </c>
      <c r="F18">
        <v>0</v>
      </c>
    </row>
    <row r="19" spans="1:6" x14ac:dyDescent="0.25">
      <c r="A19" t="s">
        <v>31</v>
      </c>
      <c r="B19" t="s">
        <v>83</v>
      </c>
      <c r="E19">
        <v>0</v>
      </c>
      <c r="F19">
        <v>0</v>
      </c>
    </row>
    <row r="20" spans="1:6" x14ac:dyDescent="0.25">
      <c r="A20" t="s">
        <v>32</v>
      </c>
      <c r="B20" t="s">
        <v>78</v>
      </c>
      <c r="C20">
        <v>20186695.957404621</v>
      </c>
      <c r="E20">
        <v>0</v>
      </c>
      <c r="F20">
        <v>0</v>
      </c>
    </row>
    <row r="21" spans="1:6" x14ac:dyDescent="0.25">
      <c r="A21" t="s">
        <v>32</v>
      </c>
      <c r="B21" t="s">
        <v>79</v>
      </c>
      <c r="C21">
        <v>18958609.920000002</v>
      </c>
      <c r="E21">
        <v>0</v>
      </c>
      <c r="F21">
        <v>0</v>
      </c>
    </row>
    <row r="22" spans="1:6" x14ac:dyDescent="0.25">
      <c r="A22" t="s">
        <v>32</v>
      </c>
      <c r="B22" t="s">
        <v>80</v>
      </c>
      <c r="E22">
        <v>0</v>
      </c>
      <c r="F22">
        <v>0</v>
      </c>
    </row>
    <row r="23" spans="1:6" x14ac:dyDescent="0.25">
      <c r="A23" t="s">
        <v>32</v>
      </c>
      <c r="B23" t="s">
        <v>81</v>
      </c>
      <c r="C23">
        <v>27432588.48</v>
      </c>
      <c r="E23">
        <v>0</v>
      </c>
      <c r="F23">
        <v>0</v>
      </c>
    </row>
    <row r="24" spans="1:6" x14ac:dyDescent="0.25">
      <c r="A24" t="s">
        <v>32</v>
      </c>
      <c r="B24" t="s">
        <v>82</v>
      </c>
      <c r="C24">
        <v>2770972</v>
      </c>
      <c r="E24">
        <v>0</v>
      </c>
      <c r="F24">
        <v>0</v>
      </c>
    </row>
    <row r="25" spans="1:6" x14ac:dyDescent="0.25">
      <c r="A25" t="s">
        <v>32</v>
      </c>
      <c r="B25" t="s">
        <v>83</v>
      </c>
      <c r="E25">
        <v>0</v>
      </c>
      <c r="F25">
        <v>0</v>
      </c>
    </row>
    <row r="26" spans="1:6" x14ac:dyDescent="0.25">
      <c r="A26" t="s">
        <v>33</v>
      </c>
      <c r="B26" t="s">
        <v>78</v>
      </c>
      <c r="C26">
        <v>17208083.379999999</v>
      </c>
      <c r="E26">
        <v>0</v>
      </c>
      <c r="F26">
        <v>0</v>
      </c>
    </row>
    <row r="27" spans="1:6" x14ac:dyDescent="0.25">
      <c r="A27" t="s">
        <v>33</v>
      </c>
      <c r="B27" t="s">
        <v>79</v>
      </c>
      <c r="C27">
        <v>20792286.489999998</v>
      </c>
      <c r="E27">
        <v>0</v>
      </c>
      <c r="F27">
        <v>0</v>
      </c>
    </row>
    <row r="28" spans="1:6" x14ac:dyDescent="0.25">
      <c r="A28" t="s">
        <v>33</v>
      </c>
      <c r="B28" t="s">
        <v>80</v>
      </c>
      <c r="E28">
        <v>0</v>
      </c>
      <c r="F28">
        <v>0</v>
      </c>
    </row>
    <row r="29" spans="1:6" x14ac:dyDescent="0.25">
      <c r="A29" t="s">
        <v>33</v>
      </c>
      <c r="B29" t="s">
        <v>81</v>
      </c>
      <c r="C29">
        <v>20303813.920000002</v>
      </c>
      <c r="E29">
        <v>0</v>
      </c>
      <c r="F29">
        <v>0</v>
      </c>
    </row>
    <row r="30" spans="1:6" x14ac:dyDescent="0.25">
      <c r="A30" t="s">
        <v>33</v>
      </c>
      <c r="B30" t="s">
        <v>82</v>
      </c>
      <c r="C30">
        <v>-1164889.453343391</v>
      </c>
      <c r="E30">
        <v>0</v>
      </c>
      <c r="F30">
        <v>0</v>
      </c>
    </row>
    <row r="31" spans="1:6" x14ac:dyDescent="0.25">
      <c r="A31" t="s">
        <v>33</v>
      </c>
      <c r="B31" t="s">
        <v>83</v>
      </c>
      <c r="E31">
        <v>0</v>
      </c>
      <c r="F31">
        <v>0</v>
      </c>
    </row>
    <row r="32" spans="1:6" x14ac:dyDescent="0.25">
      <c r="A32" t="s">
        <v>34</v>
      </c>
      <c r="B32" t="s">
        <v>78</v>
      </c>
      <c r="C32">
        <v>19235316.190000001</v>
      </c>
      <c r="E32">
        <v>0</v>
      </c>
      <c r="F32">
        <v>0</v>
      </c>
    </row>
    <row r="33" spans="1:6" x14ac:dyDescent="0.25">
      <c r="A33" t="s">
        <v>34</v>
      </c>
      <c r="B33" t="s">
        <v>79</v>
      </c>
      <c r="C33">
        <v>27652891.77</v>
      </c>
      <c r="E33">
        <v>0</v>
      </c>
      <c r="F33">
        <v>0</v>
      </c>
    </row>
    <row r="34" spans="1:6" x14ac:dyDescent="0.25">
      <c r="A34" t="s">
        <v>34</v>
      </c>
      <c r="B34" t="s">
        <v>80</v>
      </c>
      <c r="E34">
        <v>0</v>
      </c>
      <c r="F34">
        <v>0</v>
      </c>
    </row>
    <row r="35" spans="1:6" x14ac:dyDescent="0.25">
      <c r="A35" t="s">
        <v>34</v>
      </c>
      <c r="B35" t="s">
        <v>81</v>
      </c>
      <c r="C35">
        <v>39223866.20000001</v>
      </c>
      <c r="E35">
        <v>0</v>
      </c>
      <c r="F35">
        <v>0</v>
      </c>
    </row>
    <row r="36" spans="1:6" x14ac:dyDescent="0.25">
      <c r="A36" t="s">
        <v>34</v>
      </c>
      <c r="B36" t="s">
        <v>82</v>
      </c>
      <c r="C36">
        <v>2277498.62</v>
      </c>
      <c r="E36">
        <v>0</v>
      </c>
      <c r="F36">
        <v>0</v>
      </c>
    </row>
    <row r="37" spans="1:6" x14ac:dyDescent="0.25">
      <c r="A37" t="s">
        <v>34</v>
      </c>
      <c r="B37" t="s">
        <v>83</v>
      </c>
      <c r="E37">
        <v>0</v>
      </c>
      <c r="F37">
        <v>0</v>
      </c>
    </row>
    <row r="38" spans="1:6" x14ac:dyDescent="0.25">
      <c r="A38" t="s">
        <v>35</v>
      </c>
      <c r="B38" t="s">
        <v>78</v>
      </c>
      <c r="C38">
        <v>19039407.039999999</v>
      </c>
      <c r="E38">
        <v>0</v>
      </c>
      <c r="F38">
        <v>0</v>
      </c>
    </row>
    <row r="39" spans="1:6" x14ac:dyDescent="0.25">
      <c r="A39" t="s">
        <v>35</v>
      </c>
      <c r="B39" t="s">
        <v>79</v>
      </c>
      <c r="C39">
        <v>22303868.430000011</v>
      </c>
      <c r="E39">
        <v>0</v>
      </c>
      <c r="F39">
        <v>0</v>
      </c>
    </row>
    <row r="40" spans="1:6" x14ac:dyDescent="0.25">
      <c r="A40" t="s">
        <v>35</v>
      </c>
      <c r="B40" t="s">
        <v>80</v>
      </c>
      <c r="E40">
        <v>0</v>
      </c>
      <c r="F40">
        <v>0</v>
      </c>
    </row>
    <row r="41" spans="1:6" x14ac:dyDescent="0.25">
      <c r="A41" t="s">
        <v>35</v>
      </c>
      <c r="B41" t="s">
        <v>81</v>
      </c>
      <c r="C41">
        <v>12586832.329999991</v>
      </c>
      <c r="E41">
        <v>0</v>
      </c>
      <c r="F41">
        <v>0</v>
      </c>
    </row>
    <row r="42" spans="1:6" x14ac:dyDescent="0.25">
      <c r="A42" t="s">
        <v>35</v>
      </c>
      <c r="B42" t="s">
        <v>82</v>
      </c>
      <c r="C42">
        <v>3743552.41</v>
      </c>
      <c r="E42">
        <v>0</v>
      </c>
      <c r="F42">
        <v>0</v>
      </c>
    </row>
    <row r="43" spans="1:6" x14ac:dyDescent="0.25">
      <c r="A43" t="s">
        <v>35</v>
      </c>
      <c r="B43" t="s">
        <v>83</v>
      </c>
      <c r="E43">
        <v>0</v>
      </c>
      <c r="F43">
        <v>0</v>
      </c>
    </row>
    <row r="44" spans="1:6" x14ac:dyDescent="0.25">
      <c r="A44" t="s">
        <v>36</v>
      </c>
      <c r="B44" t="s">
        <v>78</v>
      </c>
      <c r="C44">
        <v>26809267.370000001</v>
      </c>
      <c r="E44">
        <v>0</v>
      </c>
      <c r="F44">
        <v>0</v>
      </c>
    </row>
    <row r="45" spans="1:6" x14ac:dyDescent="0.25">
      <c r="A45" t="s">
        <v>36</v>
      </c>
      <c r="B45" t="s">
        <v>79</v>
      </c>
      <c r="C45">
        <v>23590475.350000001</v>
      </c>
      <c r="E45">
        <v>0</v>
      </c>
      <c r="F45">
        <v>0</v>
      </c>
    </row>
    <row r="46" spans="1:6" x14ac:dyDescent="0.25">
      <c r="A46" t="s">
        <v>36</v>
      </c>
      <c r="B46" t="s">
        <v>80</v>
      </c>
      <c r="E46">
        <v>0</v>
      </c>
      <c r="F46">
        <v>0</v>
      </c>
    </row>
    <row r="47" spans="1:6" x14ac:dyDescent="0.25">
      <c r="A47" t="s">
        <v>36</v>
      </c>
      <c r="B47" t="s">
        <v>81</v>
      </c>
      <c r="C47">
        <v>28556489.68</v>
      </c>
      <c r="E47">
        <v>0</v>
      </c>
      <c r="F47">
        <v>0</v>
      </c>
    </row>
    <row r="48" spans="1:6" x14ac:dyDescent="0.25">
      <c r="A48" t="s">
        <v>36</v>
      </c>
      <c r="B48" t="s">
        <v>82</v>
      </c>
      <c r="C48">
        <v>4282102.5699999994</v>
      </c>
      <c r="E48">
        <v>0</v>
      </c>
      <c r="F48">
        <v>0</v>
      </c>
    </row>
    <row r="49" spans="1:6" x14ac:dyDescent="0.25">
      <c r="A49" t="s">
        <v>36</v>
      </c>
      <c r="B49" t="s">
        <v>83</v>
      </c>
      <c r="E49">
        <v>0</v>
      </c>
      <c r="F49">
        <v>0</v>
      </c>
    </row>
    <row r="50" spans="1:6" x14ac:dyDescent="0.25">
      <c r="A50" t="s">
        <v>37</v>
      </c>
      <c r="B50" t="s">
        <v>78</v>
      </c>
      <c r="C50">
        <v>18508183.539999999</v>
      </c>
      <c r="E50">
        <v>0</v>
      </c>
      <c r="F50">
        <v>0</v>
      </c>
    </row>
    <row r="51" spans="1:6" x14ac:dyDescent="0.25">
      <c r="A51" t="s">
        <v>37</v>
      </c>
      <c r="B51" t="s">
        <v>79</v>
      </c>
      <c r="C51">
        <v>15931690.15</v>
      </c>
      <c r="E51">
        <v>0</v>
      </c>
      <c r="F51">
        <v>0</v>
      </c>
    </row>
    <row r="52" spans="1:6" x14ac:dyDescent="0.25">
      <c r="A52" t="s">
        <v>37</v>
      </c>
      <c r="B52" t="s">
        <v>80</v>
      </c>
      <c r="E52">
        <v>0</v>
      </c>
      <c r="F52">
        <v>0</v>
      </c>
    </row>
    <row r="53" spans="1:6" x14ac:dyDescent="0.25">
      <c r="A53" t="s">
        <v>37</v>
      </c>
      <c r="B53" t="s">
        <v>81</v>
      </c>
      <c r="C53">
        <v>53094640.039999977</v>
      </c>
      <c r="E53">
        <v>0</v>
      </c>
      <c r="F53">
        <v>0</v>
      </c>
    </row>
    <row r="54" spans="1:6" x14ac:dyDescent="0.25">
      <c r="A54" t="s">
        <v>37</v>
      </c>
      <c r="B54" t="s">
        <v>82</v>
      </c>
      <c r="C54">
        <v>-1713185.34</v>
      </c>
      <c r="E54">
        <v>0</v>
      </c>
      <c r="F54">
        <v>0</v>
      </c>
    </row>
    <row r="55" spans="1:6" x14ac:dyDescent="0.25">
      <c r="A55" t="s">
        <v>37</v>
      </c>
      <c r="B55" t="s">
        <v>83</v>
      </c>
      <c r="E55">
        <v>0</v>
      </c>
      <c r="F55">
        <v>0</v>
      </c>
    </row>
    <row r="56" spans="1:6" x14ac:dyDescent="0.25">
      <c r="A56" t="s">
        <v>38</v>
      </c>
      <c r="B56" t="s">
        <v>78</v>
      </c>
      <c r="C56">
        <v>20903874.390000001</v>
      </c>
      <c r="E56">
        <v>0</v>
      </c>
      <c r="F56">
        <v>0</v>
      </c>
    </row>
    <row r="57" spans="1:6" x14ac:dyDescent="0.25">
      <c r="A57" t="s">
        <v>38</v>
      </c>
      <c r="B57" t="s">
        <v>79</v>
      </c>
      <c r="C57">
        <v>19114631.629999999</v>
      </c>
      <c r="E57">
        <v>0</v>
      </c>
      <c r="F57">
        <v>0</v>
      </c>
    </row>
    <row r="58" spans="1:6" x14ac:dyDescent="0.25">
      <c r="A58" t="s">
        <v>38</v>
      </c>
      <c r="B58" t="s">
        <v>80</v>
      </c>
      <c r="E58">
        <v>0</v>
      </c>
      <c r="F58">
        <v>0</v>
      </c>
    </row>
    <row r="59" spans="1:6" x14ac:dyDescent="0.25">
      <c r="A59" t="s">
        <v>38</v>
      </c>
      <c r="B59" t="s">
        <v>81</v>
      </c>
      <c r="C59">
        <v>18510872.704249989</v>
      </c>
      <c r="E59">
        <v>0</v>
      </c>
      <c r="F59">
        <v>0</v>
      </c>
    </row>
    <row r="60" spans="1:6" x14ac:dyDescent="0.25">
      <c r="A60" t="s">
        <v>38</v>
      </c>
      <c r="B60" t="s">
        <v>82</v>
      </c>
      <c r="C60">
        <v>6933178.1199999992</v>
      </c>
      <c r="E60">
        <v>0</v>
      </c>
      <c r="F60">
        <v>0</v>
      </c>
    </row>
    <row r="61" spans="1:6" x14ac:dyDescent="0.25">
      <c r="A61" t="s">
        <v>38</v>
      </c>
      <c r="B61" t="s">
        <v>83</v>
      </c>
      <c r="E61">
        <v>0</v>
      </c>
      <c r="F61">
        <v>0</v>
      </c>
    </row>
    <row r="62" spans="1:6" x14ac:dyDescent="0.25">
      <c r="A62" t="s">
        <v>39</v>
      </c>
      <c r="B62" t="s">
        <v>78</v>
      </c>
      <c r="C62">
        <v>19632643.899999999</v>
      </c>
      <c r="E62">
        <v>0</v>
      </c>
      <c r="F62">
        <v>0</v>
      </c>
    </row>
    <row r="63" spans="1:6" x14ac:dyDescent="0.25">
      <c r="A63" t="s">
        <v>39</v>
      </c>
      <c r="B63" t="s">
        <v>79</v>
      </c>
      <c r="C63">
        <v>13671833.220000001</v>
      </c>
      <c r="E63">
        <v>0</v>
      </c>
      <c r="F63">
        <v>0</v>
      </c>
    </row>
    <row r="64" spans="1:6" x14ac:dyDescent="0.25">
      <c r="A64" t="s">
        <v>39</v>
      </c>
      <c r="B64" t="s">
        <v>80</v>
      </c>
      <c r="E64">
        <v>0</v>
      </c>
      <c r="F64">
        <v>0</v>
      </c>
    </row>
    <row r="65" spans="1:6" x14ac:dyDescent="0.25">
      <c r="A65" t="s">
        <v>39</v>
      </c>
      <c r="B65" t="s">
        <v>81</v>
      </c>
      <c r="C65">
        <v>31766772.76608834</v>
      </c>
      <c r="E65">
        <v>0</v>
      </c>
      <c r="F65">
        <v>0</v>
      </c>
    </row>
    <row r="66" spans="1:6" x14ac:dyDescent="0.25">
      <c r="A66" t="s">
        <v>39</v>
      </c>
      <c r="B66" t="s">
        <v>82</v>
      </c>
      <c r="C66">
        <v>1060895.22</v>
      </c>
      <c r="E66">
        <v>0</v>
      </c>
      <c r="F66">
        <v>0</v>
      </c>
    </row>
    <row r="67" spans="1:6" x14ac:dyDescent="0.25">
      <c r="A67" t="s">
        <v>39</v>
      </c>
      <c r="B67" t="s">
        <v>83</v>
      </c>
      <c r="E67">
        <v>0</v>
      </c>
      <c r="F67">
        <v>0</v>
      </c>
    </row>
    <row r="68" spans="1:6" x14ac:dyDescent="0.25">
      <c r="A68" t="s">
        <v>40</v>
      </c>
      <c r="B68" t="s">
        <v>78</v>
      </c>
      <c r="C68">
        <v>20770066.68</v>
      </c>
      <c r="E68">
        <v>0</v>
      </c>
      <c r="F68">
        <v>0</v>
      </c>
    </row>
    <row r="69" spans="1:6" x14ac:dyDescent="0.25">
      <c r="A69" t="s">
        <v>40</v>
      </c>
      <c r="B69" t="s">
        <v>79</v>
      </c>
      <c r="C69">
        <v>30469543.920000002</v>
      </c>
      <c r="E69">
        <v>0</v>
      </c>
      <c r="F69">
        <v>0</v>
      </c>
    </row>
    <row r="70" spans="1:6" x14ac:dyDescent="0.25">
      <c r="A70" t="s">
        <v>40</v>
      </c>
      <c r="B70" t="s">
        <v>80</v>
      </c>
      <c r="E70">
        <v>0</v>
      </c>
      <c r="F70">
        <v>0</v>
      </c>
    </row>
    <row r="71" spans="1:6" x14ac:dyDescent="0.25">
      <c r="A71" t="s">
        <v>40</v>
      </c>
      <c r="B71" t="s">
        <v>81</v>
      </c>
      <c r="C71">
        <v>23040621.340000011</v>
      </c>
      <c r="E71">
        <v>0</v>
      </c>
      <c r="F71">
        <v>0</v>
      </c>
    </row>
    <row r="72" spans="1:6" x14ac:dyDescent="0.25">
      <c r="A72" t="s">
        <v>40</v>
      </c>
      <c r="B72" t="s">
        <v>82</v>
      </c>
      <c r="C72">
        <v>31273106.289999999</v>
      </c>
      <c r="E72">
        <v>0</v>
      </c>
      <c r="F72">
        <v>0</v>
      </c>
    </row>
    <row r="73" spans="1:6" x14ac:dyDescent="0.25">
      <c r="A73" t="s">
        <v>40</v>
      </c>
      <c r="B73" t="s">
        <v>83</v>
      </c>
      <c r="E73">
        <v>0</v>
      </c>
      <c r="F73">
        <v>0</v>
      </c>
    </row>
    <row r="74" spans="1:6" x14ac:dyDescent="0.25">
      <c r="A74" t="s">
        <v>41</v>
      </c>
      <c r="B74" t="s">
        <v>78</v>
      </c>
      <c r="C74">
        <v>19029674.210000001</v>
      </c>
      <c r="D74">
        <v>21277967.281142481</v>
      </c>
      <c r="E74">
        <v>0</v>
      </c>
      <c r="F74">
        <v>0</v>
      </c>
    </row>
    <row r="75" spans="1:6" x14ac:dyDescent="0.25">
      <c r="A75" t="s">
        <v>41</v>
      </c>
      <c r="B75" t="s">
        <v>79</v>
      </c>
      <c r="C75">
        <v>20907275.370000001</v>
      </c>
      <c r="D75">
        <v>23065367.618181739</v>
      </c>
      <c r="E75">
        <v>0</v>
      </c>
      <c r="F75">
        <v>0</v>
      </c>
    </row>
    <row r="76" spans="1:6" x14ac:dyDescent="0.25">
      <c r="A76" t="s">
        <v>41</v>
      </c>
      <c r="B76" t="s">
        <v>80</v>
      </c>
      <c r="C76" s="2">
        <v>6335544</v>
      </c>
      <c r="D76" s="2">
        <v>11463923</v>
      </c>
      <c r="E76">
        <v>0</v>
      </c>
      <c r="F76">
        <v>0</v>
      </c>
    </row>
    <row r="77" spans="1:6" x14ac:dyDescent="0.25">
      <c r="A77" t="s">
        <v>41</v>
      </c>
      <c r="B77" t="s">
        <v>81</v>
      </c>
      <c r="C77">
        <v>9390447.1600000039</v>
      </c>
      <c r="D77">
        <v>17449675.340094421</v>
      </c>
      <c r="E77">
        <v>0</v>
      </c>
      <c r="F77">
        <v>0</v>
      </c>
    </row>
    <row r="78" spans="1:6" x14ac:dyDescent="0.25">
      <c r="A78" t="s">
        <v>41</v>
      </c>
      <c r="B78" t="s">
        <v>82</v>
      </c>
      <c r="C78">
        <v>3196936.22</v>
      </c>
      <c r="D78">
        <v>3641316.3031548872</v>
      </c>
      <c r="E78">
        <v>0</v>
      </c>
      <c r="F78">
        <v>0</v>
      </c>
    </row>
    <row r="79" spans="1:6" x14ac:dyDescent="0.25">
      <c r="A79" t="s">
        <v>41</v>
      </c>
      <c r="B79" t="s">
        <v>83</v>
      </c>
      <c r="C79">
        <v>1003465.85</v>
      </c>
      <c r="D79">
        <v>2248453.405862648</v>
      </c>
      <c r="E79">
        <v>0</v>
      </c>
      <c r="F79">
        <v>0</v>
      </c>
    </row>
    <row r="80" spans="1:6" x14ac:dyDescent="0.25">
      <c r="A80" t="s">
        <v>84</v>
      </c>
      <c r="B80" t="s">
        <v>78</v>
      </c>
      <c r="D80">
        <v>22591612.332703259</v>
      </c>
      <c r="E80">
        <v>0</v>
      </c>
      <c r="F80">
        <v>0</v>
      </c>
    </row>
    <row r="81" spans="1:6" x14ac:dyDescent="0.25">
      <c r="A81" t="s">
        <v>84</v>
      </c>
      <c r="B81" t="s">
        <v>79</v>
      </c>
      <c r="D81">
        <v>23147297.862746108</v>
      </c>
      <c r="E81">
        <v>0</v>
      </c>
      <c r="F81">
        <v>0</v>
      </c>
    </row>
    <row r="82" spans="1:6" x14ac:dyDescent="0.25">
      <c r="A82" t="s">
        <v>84</v>
      </c>
      <c r="B82" t="s">
        <v>80</v>
      </c>
      <c r="D82">
        <v>14332013.6352381</v>
      </c>
      <c r="E82">
        <v>0</v>
      </c>
      <c r="F82">
        <v>0</v>
      </c>
    </row>
    <row r="83" spans="1:6" x14ac:dyDescent="0.25">
      <c r="A83" t="s">
        <v>84</v>
      </c>
      <c r="B83" t="s">
        <v>81</v>
      </c>
      <c r="D83">
        <v>17646306.05536446</v>
      </c>
      <c r="E83">
        <v>0</v>
      </c>
      <c r="F83">
        <v>0</v>
      </c>
    </row>
    <row r="84" spans="1:6" x14ac:dyDescent="0.25">
      <c r="A84" t="s">
        <v>84</v>
      </c>
      <c r="B84" t="s">
        <v>82</v>
      </c>
      <c r="D84">
        <v>3168047.0304404469</v>
      </c>
      <c r="E84">
        <v>0</v>
      </c>
      <c r="F84">
        <v>0</v>
      </c>
    </row>
    <row r="85" spans="1:6" x14ac:dyDescent="0.25">
      <c r="A85" t="s">
        <v>84</v>
      </c>
      <c r="B85" t="s">
        <v>83</v>
      </c>
      <c r="D85">
        <v>3241953.2328955359</v>
      </c>
      <c r="E85">
        <v>0</v>
      </c>
      <c r="F85">
        <v>0</v>
      </c>
    </row>
    <row r="86" spans="1:6" x14ac:dyDescent="0.25">
      <c r="A86" t="s">
        <v>85</v>
      </c>
      <c r="B86" t="s">
        <v>78</v>
      </c>
      <c r="D86">
        <v>22522911.54131892</v>
      </c>
      <c r="E86">
        <v>0</v>
      </c>
      <c r="F86">
        <v>0</v>
      </c>
    </row>
    <row r="87" spans="1:6" x14ac:dyDescent="0.25">
      <c r="A87" t="s">
        <v>85</v>
      </c>
      <c r="B87" t="s">
        <v>79</v>
      </c>
      <c r="D87">
        <v>23871463.000562731</v>
      </c>
      <c r="E87">
        <v>0</v>
      </c>
      <c r="F87">
        <v>0</v>
      </c>
    </row>
    <row r="88" spans="1:6" x14ac:dyDescent="0.25">
      <c r="A88" t="s">
        <v>85</v>
      </c>
      <c r="B88" t="s">
        <v>80</v>
      </c>
      <c r="D88">
        <v>17173048.7052381</v>
      </c>
      <c r="E88">
        <v>0</v>
      </c>
      <c r="F88">
        <v>0</v>
      </c>
    </row>
    <row r="89" spans="1:6" x14ac:dyDescent="0.25">
      <c r="A89" t="s">
        <v>85</v>
      </c>
      <c r="B89" t="s">
        <v>81</v>
      </c>
      <c r="D89">
        <v>19474521.734445091</v>
      </c>
      <c r="E89">
        <v>0</v>
      </c>
      <c r="F89">
        <v>0</v>
      </c>
    </row>
    <row r="90" spans="1:6" x14ac:dyDescent="0.25">
      <c r="A90" t="s">
        <v>85</v>
      </c>
      <c r="B90" t="s">
        <v>82</v>
      </c>
      <c r="D90">
        <v>3294321.1456401451</v>
      </c>
      <c r="E90">
        <v>0</v>
      </c>
      <c r="F90">
        <v>0</v>
      </c>
    </row>
    <row r="91" spans="1:6" x14ac:dyDescent="0.25">
      <c r="A91" t="s">
        <v>85</v>
      </c>
      <c r="B91" t="s">
        <v>83</v>
      </c>
      <c r="D91">
        <v>5201350.3279076247</v>
      </c>
      <c r="E91">
        <v>0</v>
      </c>
      <c r="F91">
        <v>0</v>
      </c>
    </row>
    <row r="92" spans="1:6" x14ac:dyDescent="0.25">
      <c r="A92" t="s">
        <v>86</v>
      </c>
      <c r="B92" t="s">
        <v>78</v>
      </c>
      <c r="D92">
        <v>22657637.09599318</v>
      </c>
      <c r="E92">
        <v>0</v>
      </c>
      <c r="F92">
        <v>0</v>
      </c>
    </row>
    <row r="93" spans="1:6" x14ac:dyDescent="0.25">
      <c r="A93" t="s">
        <v>86</v>
      </c>
      <c r="B93" t="s">
        <v>79</v>
      </c>
      <c r="D93">
        <v>22771503.687049419</v>
      </c>
      <c r="E93">
        <v>0</v>
      </c>
      <c r="F93">
        <v>0</v>
      </c>
    </row>
    <row r="94" spans="1:6" x14ac:dyDescent="0.25">
      <c r="A94" t="s">
        <v>86</v>
      </c>
      <c r="B94" t="s">
        <v>80</v>
      </c>
      <c r="D94">
        <v>15169612.6352381</v>
      </c>
      <c r="E94">
        <v>0</v>
      </c>
      <c r="F94">
        <v>0</v>
      </c>
    </row>
    <row r="95" spans="1:6" x14ac:dyDescent="0.25">
      <c r="A95" t="s">
        <v>86</v>
      </c>
      <c r="B95" t="s">
        <v>81</v>
      </c>
      <c r="D95">
        <v>110707370.97098359</v>
      </c>
      <c r="E95">
        <v>0</v>
      </c>
      <c r="F95">
        <v>0</v>
      </c>
    </row>
    <row r="96" spans="1:6" x14ac:dyDescent="0.25">
      <c r="A96" t="s">
        <v>86</v>
      </c>
      <c r="B96" t="s">
        <v>82</v>
      </c>
      <c r="D96">
        <v>3725840.471526688</v>
      </c>
      <c r="E96">
        <v>0</v>
      </c>
      <c r="F96">
        <v>0</v>
      </c>
    </row>
    <row r="97" spans="1:6" x14ac:dyDescent="0.25">
      <c r="A97" t="s">
        <v>86</v>
      </c>
      <c r="B97" t="s">
        <v>83</v>
      </c>
      <c r="D97">
        <v>2842128.7220176449</v>
      </c>
      <c r="E97">
        <v>0</v>
      </c>
      <c r="F97">
        <v>0</v>
      </c>
    </row>
    <row r="98" spans="1:6" x14ac:dyDescent="0.25">
      <c r="A98" t="s">
        <v>87</v>
      </c>
      <c r="B98" t="s">
        <v>78</v>
      </c>
      <c r="D98">
        <v>22986653.214691199</v>
      </c>
      <c r="E98">
        <v>0</v>
      </c>
      <c r="F98">
        <v>0</v>
      </c>
    </row>
    <row r="99" spans="1:6" x14ac:dyDescent="0.25">
      <c r="A99" t="s">
        <v>87</v>
      </c>
      <c r="B99" t="s">
        <v>79</v>
      </c>
      <c r="D99">
        <v>23101642.49688293</v>
      </c>
      <c r="E99">
        <v>0</v>
      </c>
      <c r="F99">
        <v>0</v>
      </c>
    </row>
    <row r="100" spans="1:6" x14ac:dyDescent="0.25">
      <c r="A100" t="s">
        <v>87</v>
      </c>
      <c r="B100" t="s">
        <v>80</v>
      </c>
      <c r="D100">
        <v>14093039.44476191</v>
      </c>
      <c r="E100">
        <v>0</v>
      </c>
      <c r="F100">
        <v>0</v>
      </c>
    </row>
    <row r="101" spans="1:6" x14ac:dyDescent="0.25">
      <c r="A101" t="s">
        <v>87</v>
      </c>
      <c r="B101" t="s">
        <v>81</v>
      </c>
      <c r="D101">
        <v>18031437.184675042</v>
      </c>
      <c r="E101">
        <v>0</v>
      </c>
      <c r="F101">
        <v>0</v>
      </c>
    </row>
    <row r="102" spans="1:6" x14ac:dyDescent="0.25">
      <c r="A102" t="s">
        <v>87</v>
      </c>
      <c r="B102" t="s">
        <v>82</v>
      </c>
      <c r="D102">
        <v>3794023.364505047</v>
      </c>
      <c r="E102">
        <v>0</v>
      </c>
      <c r="F102">
        <v>0</v>
      </c>
    </row>
    <row r="103" spans="1:6" x14ac:dyDescent="0.25">
      <c r="A103" t="s">
        <v>87</v>
      </c>
      <c r="B103" t="s">
        <v>83</v>
      </c>
      <c r="D103">
        <v>4722333.8230922902</v>
      </c>
      <c r="E103">
        <v>0</v>
      </c>
      <c r="F103">
        <v>0</v>
      </c>
    </row>
    <row r="104" spans="1:6" x14ac:dyDescent="0.25">
      <c r="A104" t="s">
        <v>88</v>
      </c>
      <c r="B104" t="s">
        <v>78</v>
      </c>
      <c r="D104">
        <v>22449175.764702048</v>
      </c>
      <c r="E104">
        <v>0</v>
      </c>
      <c r="F104">
        <v>0</v>
      </c>
    </row>
    <row r="105" spans="1:6" x14ac:dyDescent="0.25">
      <c r="A105" t="s">
        <v>88</v>
      </c>
      <c r="B105" t="s">
        <v>79</v>
      </c>
      <c r="D105">
        <v>24163742.910044689</v>
      </c>
      <c r="E105">
        <v>0</v>
      </c>
      <c r="F105">
        <v>0</v>
      </c>
    </row>
    <row r="106" spans="1:6" x14ac:dyDescent="0.25">
      <c r="A106" t="s">
        <v>88</v>
      </c>
      <c r="B106" t="s">
        <v>80</v>
      </c>
      <c r="D106">
        <v>14907237.44476191</v>
      </c>
      <c r="E106">
        <v>0</v>
      </c>
      <c r="F106">
        <v>0</v>
      </c>
    </row>
    <row r="107" spans="1:6" x14ac:dyDescent="0.25">
      <c r="A107" t="s">
        <v>88</v>
      </c>
      <c r="B107" t="s">
        <v>81</v>
      </c>
      <c r="D107">
        <v>18899174.40615667</v>
      </c>
      <c r="E107">
        <v>0</v>
      </c>
      <c r="F107">
        <v>0</v>
      </c>
    </row>
    <row r="108" spans="1:6" x14ac:dyDescent="0.25">
      <c r="A108" t="s">
        <v>88</v>
      </c>
      <c r="B108" t="s">
        <v>82</v>
      </c>
      <c r="D108">
        <v>3839645.5035856571</v>
      </c>
      <c r="E108">
        <v>0</v>
      </c>
      <c r="F108">
        <v>0</v>
      </c>
    </row>
    <row r="109" spans="1:6" x14ac:dyDescent="0.25">
      <c r="A109" t="s">
        <v>88</v>
      </c>
      <c r="B109" t="s">
        <v>83</v>
      </c>
      <c r="D109">
        <v>2740233.6539654071</v>
      </c>
      <c r="E109">
        <v>0</v>
      </c>
      <c r="F109">
        <v>0</v>
      </c>
    </row>
    <row r="110" spans="1:6" x14ac:dyDescent="0.25">
      <c r="A110" t="s">
        <v>89</v>
      </c>
      <c r="B110" t="s">
        <v>78</v>
      </c>
      <c r="D110">
        <v>22648513.31474198</v>
      </c>
      <c r="E110">
        <v>0</v>
      </c>
      <c r="F110">
        <v>0</v>
      </c>
    </row>
    <row r="111" spans="1:6" x14ac:dyDescent="0.25">
      <c r="A111" t="s">
        <v>89</v>
      </c>
      <c r="B111" t="s">
        <v>79</v>
      </c>
      <c r="D111">
        <v>23504509.507710181</v>
      </c>
      <c r="E111">
        <v>0</v>
      </c>
      <c r="F111">
        <v>0</v>
      </c>
    </row>
    <row r="112" spans="1:6" x14ac:dyDescent="0.25">
      <c r="A112" t="s">
        <v>89</v>
      </c>
      <c r="B112" t="s">
        <v>80</v>
      </c>
      <c r="D112">
        <v>12840482.784761909</v>
      </c>
      <c r="E112">
        <v>0</v>
      </c>
      <c r="F112">
        <v>0</v>
      </c>
    </row>
    <row r="113" spans="1:6" x14ac:dyDescent="0.25">
      <c r="A113" t="s">
        <v>89</v>
      </c>
      <c r="B113" t="s">
        <v>81</v>
      </c>
      <c r="D113">
        <v>20078615.347537041</v>
      </c>
      <c r="E113">
        <v>0</v>
      </c>
      <c r="F113">
        <v>0</v>
      </c>
    </row>
    <row r="114" spans="1:6" x14ac:dyDescent="0.25">
      <c r="A114" t="s">
        <v>89</v>
      </c>
      <c r="B114" t="s">
        <v>82</v>
      </c>
      <c r="D114">
        <v>3216356.398978495</v>
      </c>
      <c r="E114">
        <v>0</v>
      </c>
      <c r="F114">
        <v>0</v>
      </c>
    </row>
    <row r="115" spans="1:6" x14ac:dyDescent="0.25">
      <c r="A115" t="s">
        <v>89</v>
      </c>
      <c r="B115" t="s">
        <v>83</v>
      </c>
      <c r="D115">
        <v>2060918.427395666</v>
      </c>
      <c r="E115">
        <v>0</v>
      </c>
      <c r="F115">
        <v>0</v>
      </c>
    </row>
    <row r="116" spans="1:6" x14ac:dyDescent="0.25">
      <c r="A116" t="s">
        <v>90</v>
      </c>
      <c r="B116" t="s">
        <v>78</v>
      </c>
      <c r="D116">
        <v>22674603.910064019</v>
      </c>
      <c r="E116">
        <v>0</v>
      </c>
      <c r="F116">
        <v>0</v>
      </c>
    </row>
    <row r="117" spans="1:6" x14ac:dyDescent="0.25">
      <c r="A117" t="s">
        <v>90</v>
      </c>
      <c r="B117" t="s">
        <v>79</v>
      </c>
      <c r="D117">
        <v>23892351.16330291</v>
      </c>
      <c r="E117">
        <v>0</v>
      </c>
      <c r="F117">
        <v>0</v>
      </c>
    </row>
    <row r="118" spans="1:6" x14ac:dyDescent="0.25">
      <c r="A118" t="s">
        <v>90</v>
      </c>
      <c r="B118" t="s">
        <v>80</v>
      </c>
      <c r="D118">
        <v>12530391.504761901</v>
      </c>
      <c r="E118">
        <v>0</v>
      </c>
      <c r="F118">
        <v>0</v>
      </c>
    </row>
    <row r="119" spans="1:6" x14ac:dyDescent="0.25">
      <c r="A119" t="s">
        <v>90</v>
      </c>
      <c r="B119" t="s">
        <v>81</v>
      </c>
      <c r="D119">
        <v>17771069.282792389</v>
      </c>
      <c r="E119">
        <v>0</v>
      </c>
      <c r="F119">
        <v>0</v>
      </c>
    </row>
    <row r="120" spans="1:6" x14ac:dyDescent="0.25">
      <c r="A120" t="s">
        <v>90</v>
      </c>
      <c r="B120" t="s">
        <v>82</v>
      </c>
      <c r="D120">
        <v>3247746.489788108</v>
      </c>
      <c r="E120">
        <v>0</v>
      </c>
      <c r="F120">
        <v>0</v>
      </c>
    </row>
    <row r="121" spans="1:6" x14ac:dyDescent="0.25">
      <c r="A121" t="s">
        <v>90</v>
      </c>
      <c r="B121" t="s">
        <v>83</v>
      </c>
      <c r="D121">
        <v>3116406.8132882458</v>
      </c>
      <c r="E121">
        <v>0</v>
      </c>
      <c r="F121">
        <v>0</v>
      </c>
    </row>
    <row r="122" spans="1:6" x14ac:dyDescent="0.25">
      <c r="A122" t="s">
        <v>91</v>
      </c>
      <c r="B122" t="s">
        <v>78</v>
      </c>
      <c r="D122">
        <v>23470015.951714128</v>
      </c>
      <c r="E122">
        <v>0</v>
      </c>
      <c r="F122">
        <v>0</v>
      </c>
    </row>
    <row r="123" spans="1:6" x14ac:dyDescent="0.25">
      <c r="A123" t="s">
        <v>91</v>
      </c>
      <c r="B123" t="s">
        <v>79</v>
      </c>
      <c r="D123">
        <v>24792477.474041179</v>
      </c>
      <c r="E123">
        <v>0</v>
      </c>
      <c r="F123">
        <v>0</v>
      </c>
    </row>
    <row r="124" spans="1:6" x14ac:dyDescent="0.25">
      <c r="A124" t="s">
        <v>91</v>
      </c>
      <c r="B124" t="s">
        <v>80</v>
      </c>
      <c r="D124">
        <v>14611795.18476191</v>
      </c>
      <c r="E124">
        <v>0</v>
      </c>
      <c r="F124">
        <v>0</v>
      </c>
    </row>
    <row r="125" spans="1:6" x14ac:dyDescent="0.25">
      <c r="A125" t="s">
        <v>91</v>
      </c>
      <c r="B125" t="s">
        <v>81</v>
      </c>
      <c r="D125">
        <v>18760745.560399849</v>
      </c>
      <c r="E125">
        <v>0</v>
      </c>
      <c r="F125">
        <v>0</v>
      </c>
    </row>
    <row r="126" spans="1:6" x14ac:dyDescent="0.25">
      <c r="A126" t="s">
        <v>91</v>
      </c>
      <c r="B126" t="s">
        <v>82</v>
      </c>
      <c r="D126">
        <v>3409858.838336057</v>
      </c>
      <c r="E126">
        <v>0</v>
      </c>
      <c r="F126">
        <v>0</v>
      </c>
    </row>
    <row r="127" spans="1:6" x14ac:dyDescent="0.25">
      <c r="A127" t="s">
        <v>91</v>
      </c>
      <c r="B127" t="s">
        <v>83</v>
      </c>
      <c r="D127">
        <v>4505334.575696514</v>
      </c>
      <c r="E127">
        <v>0</v>
      </c>
      <c r="F127">
        <v>0</v>
      </c>
    </row>
    <row r="128" spans="1:6" x14ac:dyDescent="0.25">
      <c r="A128" t="s">
        <v>92</v>
      </c>
      <c r="B128" t="s">
        <v>78</v>
      </c>
      <c r="D128">
        <v>22621936.559258658</v>
      </c>
      <c r="E128">
        <v>0</v>
      </c>
      <c r="F128">
        <v>0</v>
      </c>
    </row>
    <row r="129" spans="1:6" x14ac:dyDescent="0.25">
      <c r="A129" t="s">
        <v>92</v>
      </c>
      <c r="B129" t="s">
        <v>79</v>
      </c>
      <c r="D129">
        <v>23642786.400619481</v>
      </c>
      <c r="E129">
        <v>0</v>
      </c>
      <c r="F129">
        <v>0</v>
      </c>
    </row>
    <row r="130" spans="1:6" x14ac:dyDescent="0.25">
      <c r="A130" t="s">
        <v>92</v>
      </c>
      <c r="B130" t="s">
        <v>80</v>
      </c>
      <c r="D130">
        <v>12016926.99428571</v>
      </c>
      <c r="E130">
        <v>0</v>
      </c>
      <c r="F130">
        <v>0</v>
      </c>
    </row>
    <row r="131" spans="1:6" x14ac:dyDescent="0.25">
      <c r="A131" t="s">
        <v>92</v>
      </c>
      <c r="B131" t="s">
        <v>81</v>
      </c>
      <c r="D131">
        <v>17390186.846839622</v>
      </c>
      <c r="E131">
        <v>0</v>
      </c>
      <c r="F131">
        <v>0</v>
      </c>
    </row>
    <row r="132" spans="1:6" x14ac:dyDescent="0.25">
      <c r="A132" t="s">
        <v>92</v>
      </c>
      <c r="B132" t="s">
        <v>82</v>
      </c>
      <c r="D132">
        <v>3456084.406932943</v>
      </c>
      <c r="E132">
        <v>0</v>
      </c>
      <c r="F132">
        <v>0</v>
      </c>
    </row>
    <row r="133" spans="1:6" x14ac:dyDescent="0.25">
      <c r="A133" t="s">
        <v>92</v>
      </c>
      <c r="B133" t="s">
        <v>83</v>
      </c>
      <c r="D133">
        <v>3683298.36296571</v>
      </c>
      <c r="E133">
        <v>0</v>
      </c>
      <c r="F133">
        <v>0</v>
      </c>
    </row>
    <row r="134" spans="1:6" x14ac:dyDescent="0.25">
      <c r="A134" t="s">
        <v>93</v>
      </c>
      <c r="B134" t="s">
        <v>78</v>
      </c>
      <c r="D134">
        <v>22769135.052535169</v>
      </c>
      <c r="E134">
        <v>0</v>
      </c>
      <c r="F134">
        <v>0</v>
      </c>
    </row>
    <row r="135" spans="1:6" x14ac:dyDescent="0.25">
      <c r="A135" t="s">
        <v>93</v>
      </c>
      <c r="B135" t="s">
        <v>79</v>
      </c>
      <c r="D135">
        <v>24158478.228052251</v>
      </c>
      <c r="E135">
        <v>0</v>
      </c>
      <c r="F135">
        <v>0</v>
      </c>
    </row>
    <row r="136" spans="1:6" x14ac:dyDescent="0.25">
      <c r="A136" t="s">
        <v>93</v>
      </c>
      <c r="B136" t="s">
        <v>80</v>
      </c>
      <c r="D136">
        <v>12033698.99428571</v>
      </c>
      <c r="E136">
        <v>0</v>
      </c>
      <c r="F136">
        <v>0</v>
      </c>
    </row>
    <row r="137" spans="1:6" x14ac:dyDescent="0.25">
      <c r="A137" t="s">
        <v>93</v>
      </c>
      <c r="B137" t="s">
        <v>81</v>
      </c>
      <c r="D137">
        <v>17379633.519875061</v>
      </c>
      <c r="E137">
        <v>0</v>
      </c>
      <c r="F137">
        <v>0</v>
      </c>
    </row>
    <row r="138" spans="1:6" x14ac:dyDescent="0.25">
      <c r="A138" t="s">
        <v>93</v>
      </c>
      <c r="B138" t="s">
        <v>82</v>
      </c>
      <c r="D138">
        <v>3477804.4015584351</v>
      </c>
      <c r="E138">
        <v>0</v>
      </c>
      <c r="F138">
        <v>0</v>
      </c>
    </row>
    <row r="139" spans="1:6" x14ac:dyDescent="0.25">
      <c r="A139" t="s">
        <v>93</v>
      </c>
      <c r="B139" t="s">
        <v>83</v>
      </c>
      <c r="D139">
        <v>3293437.9612455191</v>
      </c>
      <c r="E139">
        <v>0</v>
      </c>
      <c r="F139">
        <v>0</v>
      </c>
    </row>
    <row r="140" spans="1:6" x14ac:dyDescent="0.25">
      <c r="A140" t="s">
        <v>94</v>
      </c>
      <c r="B140" t="s">
        <v>78</v>
      </c>
      <c r="D140">
        <v>74718831.424577147</v>
      </c>
      <c r="E140">
        <v>0</v>
      </c>
      <c r="F140">
        <v>0</v>
      </c>
    </row>
    <row r="141" spans="1:6" x14ac:dyDescent="0.25">
      <c r="A141" t="s">
        <v>94</v>
      </c>
      <c r="B141" t="s">
        <v>79</v>
      </c>
      <c r="D141">
        <v>27331633.67587252</v>
      </c>
      <c r="E141">
        <v>0</v>
      </c>
      <c r="F141">
        <v>0</v>
      </c>
    </row>
    <row r="142" spans="1:6" x14ac:dyDescent="0.25">
      <c r="A142" t="s">
        <v>94</v>
      </c>
      <c r="B142" t="s">
        <v>80</v>
      </c>
      <c r="D142">
        <v>11529703.99428571</v>
      </c>
      <c r="E142">
        <v>0</v>
      </c>
      <c r="F142">
        <v>0</v>
      </c>
    </row>
    <row r="143" spans="1:6" x14ac:dyDescent="0.25">
      <c r="A143" t="s">
        <v>94</v>
      </c>
      <c r="B143" t="s">
        <v>81</v>
      </c>
      <c r="D143">
        <v>106066711.6235541</v>
      </c>
      <c r="E143">
        <v>0</v>
      </c>
      <c r="F143">
        <v>0</v>
      </c>
    </row>
    <row r="144" spans="1:6" x14ac:dyDescent="0.25">
      <c r="A144" t="s">
        <v>94</v>
      </c>
      <c r="B144" t="s">
        <v>82</v>
      </c>
      <c r="D144">
        <v>3598284.0393927582</v>
      </c>
      <c r="E144">
        <v>0</v>
      </c>
      <c r="F144">
        <v>0</v>
      </c>
    </row>
    <row r="145" spans="1:6" x14ac:dyDescent="0.25">
      <c r="A145" t="s">
        <v>94</v>
      </c>
      <c r="B145" t="s">
        <v>83</v>
      </c>
      <c r="D145">
        <v>1977959.772256132</v>
      </c>
      <c r="E145">
        <v>0</v>
      </c>
      <c r="F145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1"/>
  <sheetViews>
    <sheetView workbookViewId="0">
      <selection activeCell="M84" sqref="M84"/>
    </sheetView>
  </sheetViews>
  <sheetFormatPr defaultRowHeight="15" x14ac:dyDescent="0.25"/>
  <cols>
    <col min="3" max="3" width="31.85546875" bestFit="1" customWidth="1"/>
  </cols>
  <sheetData>
    <row r="1" spans="1:5" x14ac:dyDescent="0.25">
      <c r="A1" s="3"/>
      <c r="B1" s="4"/>
      <c r="C1" s="3"/>
      <c r="D1" s="5">
        <v>46113</v>
      </c>
      <c r="E1" s="3"/>
    </row>
    <row r="2" spans="1:5" x14ac:dyDescent="0.25">
      <c r="A2" s="3"/>
      <c r="B2" s="3"/>
      <c r="C2" s="3"/>
      <c r="D2" s="3"/>
      <c r="E2" s="3"/>
    </row>
    <row r="3" spans="1:5" x14ac:dyDescent="0.25">
      <c r="A3" s="3" t="s">
        <v>95</v>
      </c>
      <c r="B3" s="4" t="s">
        <v>96</v>
      </c>
      <c r="C3" s="4" t="s">
        <v>75</v>
      </c>
      <c r="D3" s="4" t="s">
        <v>97</v>
      </c>
      <c r="E3" s="4" t="s">
        <v>98</v>
      </c>
    </row>
    <row r="4" spans="1:5" x14ac:dyDescent="0.25">
      <c r="A4" s="6">
        <v>1</v>
      </c>
      <c r="B4" s="7" t="s">
        <v>99</v>
      </c>
      <c r="C4" s="6" t="s">
        <v>100</v>
      </c>
      <c r="D4" s="8">
        <v>59181</v>
      </c>
      <c r="E4" s="9">
        <v>0.55000000000000004</v>
      </c>
    </row>
    <row r="5" spans="1:5" x14ac:dyDescent="0.25">
      <c r="A5" s="6">
        <v>2</v>
      </c>
      <c r="B5" s="7" t="s">
        <v>99</v>
      </c>
      <c r="C5" s="6" t="s">
        <v>101</v>
      </c>
      <c r="D5" s="8">
        <v>26434</v>
      </c>
      <c r="E5" s="9">
        <v>0.25</v>
      </c>
    </row>
    <row r="6" spans="1:5" x14ac:dyDescent="0.25">
      <c r="A6" s="6">
        <v>3</v>
      </c>
      <c r="B6" s="6" t="s">
        <v>99</v>
      </c>
      <c r="C6" s="6" t="s">
        <v>102</v>
      </c>
      <c r="D6" s="8">
        <v>5804</v>
      </c>
      <c r="E6" s="9">
        <v>0.05</v>
      </c>
    </row>
    <row r="7" spans="1:5" x14ac:dyDescent="0.25">
      <c r="A7" s="6">
        <v>4</v>
      </c>
      <c r="B7" s="6" t="s">
        <v>99</v>
      </c>
      <c r="C7" s="6" t="s">
        <v>103</v>
      </c>
      <c r="D7" s="8">
        <v>2605</v>
      </c>
      <c r="E7" s="9">
        <v>0.02</v>
      </c>
    </row>
    <row r="8" spans="1:5" x14ac:dyDescent="0.25">
      <c r="A8" s="6">
        <v>5</v>
      </c>
      <c r="B8" s="7" t="s">
        <v>99</v>
      </c>
      <c r="C8" s="6" t="s">
        <v>104</v>
      </c>
      <c r="D8" s="8">
        <v>1253</v>
      </c>
      <c r="E8" s="9">
        <v>0.01</v>
      </c>
    </row>
    <row r="9" spans="1:5" x14ac:dyDescent="0.25">
      <c r="A9" s="10">
        <v>6</v>
      </c>
      <c r="B9" s="10" t="s">
        <v>99</v>
      </c>
      <c r="C9" s="10" t="s">
        <v>105</v>
      </c>
      <c r="D9" s="11">
        <v>707</v>
      </c>
      <c r="E9" s="12">
        <v>0.01</v>
      </c>
    </row>
    <row r="10" spans="1:5" x14ac:dyDescent="0.25">
      <c r="A10" s="10">
        <v>7</v>
      </c>
      <c r="B10" s="13" t="s">
        <v>99</v>
      </c>
      <c r="C10" s="10" t="s">
        <v>106</v>
      </c>
      <c r="D10" s="11">
        <v>560</v>
      </c>
      <c r="E10" s="12">
        <v>0.01</v>
      </c>
    </row>
    <row r="11" spans="1:5" x14ac:dyDescent="0.25">
      <c r="A11" s="10">
        <v>8</v>
      </c>
      <c r="B11" s="10" t="s">
        <v>99</v>
      </c>
      <c r="C11" s="10" t="s">
        <v>107</v>
      </c>
      <c r="D11" s="11">
        <v>434</v>
      </c>
      <c r="E11" s="12">
        <v>0</v>
      </c>
    </row>
    <row r="12" spans="1:5" x14ac:dyDescent="0.25">
      <c r="A12" s="10">
        <v>9</v>
      </c>
      <c r="B12" s="14" t="s">
        <v>99</v>
      </c>
      <c r="C12" s="10" t="s">
        <v>108</v>
      </c>
      <c r="D12" s="11">
        <v>306</v>
      </c>
      <c r="E12" s="12">
        <v>0</v>
      </c>
    </row>
    <row r="13" spans="1:5" x14ac:dyDescent="0.25">
      <c r="A13" s="10">
        <v>10</v>
      </c>
      <c r="B13" s="10" t="s">
        <v>99</v>
      </c>
      <c r="C13" s="10" t="s">
        <v>109</v>
      </c>
      <c r="D13" s="11">
        <v>77</v>
      </c>
      <c r="E13" s="12">
        <v>0</v>
      </c>
    </row>
    <row r="14" spans="1:5" x14ac:dyDescent="0.25">
      <c r="A14" s="10">
        <v>11</v>
      </c>
      <c r="B14" s="10" t="s">
        <v>99</v>
      </c>
      <c r="C14" s="10" t="s">
        <v>110</v>
      </c>
      <c r="D14" s="11">
        <v>16</v>
      </c>
      <c r="E14" s="12">
        <v>0</v>
      </c>
    </row>
    <row r="15" spans="1:5" x14ac:dyDescent="0.25">
      <c r="A15" s="10">
        <v>12</v>
      </c>
      <c r="B15" s="13" t="s">
        <v>99</v>
      </c>
      <c r="C15" s="10" t="s">
        <v>111</v>
      </c>
      <c r="D15" s="11">
        <v>6</v>
      </c>
      <c r="E15" s="12">
        <v>0</v>
      </c>
    </row>
    <row r="16" spans="1:5" x14ac:dyDescent="0.25">
      <c r="A16" s="15">
        <v>1</v>
      </c>
      <c r="B16" s="15" t="s">
        <v>112</v>
      </c>
      <c r="C16" s="15" t="s">
        <v>113</v>
      </c>
      <c r="D16" s="16">
        <v>6365</v>
      </c>
      <c r="E16" s="17">
        <v>0.06</v>
      </c>
    </row>
    <row r="17" spans="1:5" x14ac:dyDescent="0.25">
      <c r="A17" s="15">
        <v>2</v>
      </c>
      <c r="B17" s="15" t="s">
        <v>112</v>
      </c>
      <c r="C17" s="15" t="s">
        <v>114</v>
      </c>
      <c r="D17" s="16">
        <v>1493</v>
      </c>
      <c r="E17" s="17">
        <v>0.01</v>
      </c>
    </row>
    <row r="18" spans="1:5" x14ac:dyDescent="0.25">
      <c r="A18" s="15">
        <v>3</v>
      </c>
      <c r="B18" s="15" t="s">
        <v>112</v>
      </c>
      <c r="C18" s="15" t="s">
        <v>115</v>
      </c>
      <c r="D18" s="16">
        <v>566</v>
      </c>
      <c r="E18" s="17">
        <v>0.01</v>
      </c>
    </row>
    <row r="19" spans="1:5" x14ac:dyDescent="0.25">
      <c r="A19" s="15">
        <v>4</v>
      </c>
      <c r="B19" s="15" t="s">
        <v>112</v>
      </c>
      <c r="C19" s="15" t="s">
        <v>116</v>
      </c>
      <c r="D19" s="16">
        <v>357</v>
      </c>
      <c r="E19" s="17">
        <v>0</v>
      </c>
    </row>
    <row r="20" spans="1:5" x14ac:dyDescent="0.25">
      <c r="A20" s="15">
        <v>5</v>
      </c>
      <c r="B20" s="15" t="s">
        <v>112</v>
      </c>
      <c r="C20" s="15" t="s">
        <v>117</v>
      </c>
      <c r="D20" s="16">
        <v>352</v>
      </c>
      <c r="E20" s="17">
        <v>0</v>
      </c>
    </row>
    <row r="21" spans="1:5" x14ac:dyDescent="0.25">
      <c r="A21" s="15">
        <v>6</v>
      </c>
      <c r="B21" s="15" t="s">
        <v>112</v>
      </c>
      <c r="C21" s="15" t="s">
        <v>118</v>
      </c>
      <c r="D21" s="16">
        <v>281</v>
      </c>
      <c r="E21" s="17">
        <v>0</v>
      </c>
    </row>
    <row r="22" spans="1:5" x14ac:dyDescent="0.25">
      <c r="A22" s="15">
        <v>7</v>
      </c>
      <c r="B22" s="15" t="s">
        <v>112</v>
      </c>
      <c r="C22" s="15" t="s">
        <v>119</v>
      </c>
      <c r="D22" s="16">
        <v>275</v>
      </c>
      <c r="E22" s="17">
        <v>0</v>
      </c>
    </row>
    <row r="23" spans="1:5" x14ac:dyDescent="0.25">
      <c r="A23" s="15">
        <v>8</v>
      </c>
      <c r="B23" s="15" t="s">
        <v>112</v>
      </c>
      <c r="C23" s="15" t="s">
        <v>120</v>
      </c>
      <c r="D23" s="16">
        <v>51</v>
      </c>
      <c r="E23" s="17">
        <v>0</v>
      </c>
    </row>
    <row r="24" spans="1:5" x14ac:dyDescent="0.25">
      <c r="A24" s="15">
        <v>9</v>
      </c>
      <c r="B24" s="15" t="s">
        <v>112</v>
      </c>
      <c r="C24" s="15" t="s">
        <v>121</v>
      </c>
      <c r="D24" s="16">
        <v>49</v>
      </c>
      <c r="E24" s="17">
        <v>0</v>
      </c>
    </row>
    <row r="25" spans="1:5" x14ac:dyDescent="0.25">
      <c r="A25" s="15">
        <v>10</v>
      </c>
      <c r="B25" s="15" t="s">
        <v>112</v>
      </c>
      <c r="C25" s="15" t="s">
        <v>122</v>
      </c>
      <c r="D25" s="16">
        <v>32</v>
      </c>
      <c r="E25" s="17">
        <v>0</v>
      </c>
    </row>
    <row r="26" spans="1:5" x14ac:dyDescent="0.25">
      <c r="A26" s="15">
        <v>11</v>
      </c>
      <c r="B26" s="15" t="s">
        <v>112</v>
      </c>
      <c r="C26" s="15" t="s">
        <v>123</v>
      </c>
      <c r="D26" s="16">
        <v>29</v>
      </c>
      <c r="E26" s="17">
        <v>0</v>
      </c>
    </row>
    <row r="27" spans="1:5" x14ac:dyDescent="0.25">
      <c r="A27" s="15">
        <v>12</v>
      </c>
      <c r="B27" s="15" t="s">
        <v>112</v>
      </c>
      <c r="C27" s="15" t="s">
        <v>124</v>
      </c>
      <c r="D27" s="16">
        <v>14</v>
      </c>
      <c r="E27" s="17">
        <v>0</v>
      </c>
    </row>
    <row r="28" spans="1:5" x14ac:dyDescent="0.25">
      <c r="A28" s="15">
        <v>13</v>
      </c>
      <c r="B28" s="15" t="s">
        <v>112</v>
      </c>
      <c r="C28" s="15" t="s">
        <v>125</v>
      </c>
      <c r="D28" s="16">
        <v>7</v>
      </c>
      <c r="E28" s="17">
        <v>0</v>
      </c>
    </row>
    <row r="29" spans="1:5" x14ac:dyDescent="0.25">
      <c r="A29" s="15">
        <v>14</v>
      </c>
      <c r="B29" s="15" t="s">
        <v>112</v>
      </c>
      <c r="C29" s="15" t="s">
        <v>126</v>
      </c>
      <c r="D29" s="16">
        <v>6</v>
      </c>
      <c r="E29" s="17">
        <v>0</v>
      </c>
    </row>
    <row r="30" spans="1:5" x14ac:dyDescent="0.25">
      <c r="A30" s="15">
        <v>15</v>
      </c>
      <c r="B30" s="15" t="s">
        <v>112</v>
      </c>
      <c r="C30" s="15" t="s">
        <v>127</v>
      </c>
      <c r="D30" s="16">
        <v>4</v>
      </c>
      <c r="E30" s="17">
        <v>0</v>
      </c>
    </row>
    <row r="31" spans="1:5" x14ac:dyDescent="0.25">
      <c r="A31" s="15">
        <v>16</v>
      </c>
      <c r="B31" s="15" t="s">
        <v>112</v>
      </c>
      <c r="C31" s="15" t="s">
        <v>128</v>
      </c>
      <c r="D31" s="16">
        <v>3</v>
      </c>
      <c r="E31" s="17">
        <v>0</v>
      </c>
    </row>
    <row r="32" spans="1:5" x14ac:dyDescent="0.25">
      <c r="A32" s="15">
        <v>17</v>
      </c>
      <c r="B32" s="15" t="s">
        <v>112</v>
      </c>
      <c r="C32" s="15" t="s">
        <v>129</v>
      </c>
      <c r="D32" s="16">
        <v>2</v>
      </c>
      <c r="E32" s="17">
        <v>0</v>
      </c>
    </row>
    <row r="33" spans="1:5" x14ac:dyDescent="0.25">
      <c r="A33" s="15">
        <v>17</v>
      </c>
      <c r="B33" s="15" t="s">
        <v>112</v>
      </c>
      <c r="C33" s="15" t="s">
        <v>130</v>
      </c>
      <c r="D33" s="16">
        <v>2</v>
      </c>
      <c r="E33" s="17">
        <v>0</v>
      </c>
    </row>
    <row r="34" spans="1:5" x14ac:dyDescent="0.25">
      <c r="A34" s="15">
        <v>17</v>
      </c>
      <c r="B34" s="15" t="s">
        <v>112</v>
      </c>
      <c r="C34" s="15" t="s">
        <v>131</v>
      </c>
      <c r="D34" s="16">
        <v>2</v>
      </c>
      <c r="E34" s="17">
        <v>0</v>
      </c>
    </row>
    <row r="35" spans="1:5" x14ac:dyDescent="0.25">
      <c r="A35" s="15">
        <v>20</v>
      </c>
      <c r="B35" s="15" t="s">
        <v>112</v>
      </c>
      <c r="C35" s="15" t="s">
        <v>132</v>
      </c>
      <c r="D35" s="16">
        <v>1</v>
      </c>
      <c r="E35" s="17">
        <v>0</v>
      </c>
    </row>
    <row r="36" spans="1:5" x14ac:dyDescent="0.25">
      <c r="A36" s="15">
        <v>20</v>
      </c>
      <c r="B36" s="15" t="s">
        <v>112</v>
      </c>
      <c r="C36" s="15" t="s">
        <v>133</v>
      </c>
      <c r="D36" s="16">
        <v>1</v>
      </c>
      <c r="E36" s="17">
        <v>0</v>
      </c>
    </row>
    <row r="37" spans="1:5" x14ac:dyDescent="0.25">
      <c r="A37" s="15">
        <v>22</v>
      </c>
      <c r="B37" s="15" t="s">
        <v>112</v>
      </c>
      <c r="C37" s="15" t="s">
        <v>134</v>
      </c>
      <c r="D37" s="16">
        <v>0</v>
      </c>
      <c r="E37" s="17">
        <v>0</v>
      </c>
    </row>
    <row r="38" spans="1:5" x14ac:dyDescent="0.25">
      <c r="A38" s="15">
        <v>22</v>
      </c>
      <c r="B38" s="15" t="s">
        <v>112</v>
      </c>
      <c r="C38" s="15" t="s">
        <v>135</v>
      </c>
      <c r="D38" s="16">
        <v>0</v>
      </c>
      <c r="E38" s="17">
        <v>0</v>
      </c>
    </row>
    <row r="39" spans="1:5" x14ac:dyDescent="0.25">
      <c r="A39" s="15">
        <v>22</v>
      </c>
      <c r="B39" s="15" t="s">
        <v>112</v>
      </c>
      <c r="C39" s="15" t="s">
        <v>136</v>
      </c>
      <c r="D39" s="16">
        <v>0</v>
      </c>
      <c r="E39" s="17">
        <v>0</v>
      </c>
    </row>
    <row r="40" spans="1:5" x14ac:dyDescent="0.25">
      <c r="A40" s="15">
        <v>22</v>
      </c>
      <c r="B40" s="15" t="s">
        <v>112</v>
      </c>
      <c r="C40" s="15" t="s">
        <v>137</v>
      </c>
      <c r="D40" s="16">
        <v>0</v>
      </c>
      <c r="E40" s="17">
        <v>0</v>
      </c>
    </row>
    <row r="41" spans="1:5" x14ac:dyDescent="0.25">
      <c r="A41" s="15">
        <v>22</v>
      </c>
      <c r="B41" s="15" t="s">
        <v>112</v>
      </c>
      <c r="C41" s="15" t="s">
        <v>138</v>
      </c>
      <c r="D41" s="16">
        <v>0</v>
      </c>
      <c r="E41" s="17">
        <v>0</v>
      </c>
    </row>
    <row r="42" spans="1:5" x14ac:dyDescent="0.25">
      <c r="A42" s="15">
        <v>22</v>
      </c>
      <c r="B42" s="15" t="s">
        <v>112</v>
      </c>
      <c r="C42" s="15" t="s">
        <v>139</v>
      </c>
      <c r="D42" s="16">
        <v>0</v>
      </c>
      <c r="E42" s="17">
        <v>0</v>
      </c>
    </row>
    <row r="43" spans="1:5" x14ac:dyDescent="0.25">
      <c r="A43" s="15">
        <v>22</v>
      </c>
      <c r="B43" s="15" t="s">
        <v>112</v>
      </c>
      <c r="C43" s="15" t="s">
        <v>140</v>
      </c>
      <c r="D43" s="16">
        <v>0</v>
      </c>
      <c r="E43" s="17">
        <v>0</v>
      </c>
    </row>
    <row r="44" spans="1:5" x14ac:dyDescent="0.25">
      <c r="A44" s="15">
        <v>22</v>
      </c>
      <c r="B44" s="15" t="s">
        <v>112</v>
      </c>
      <c r="C44" s="15" t="s">
        <v>141</v>
      </c>
      <c r="D44" s="16">
        <v>0</v>
      </c>
      <c r="E44" s="17">
        <v>0</v>
      </c>
    </row>
    <row r="45" spans="1:5" x14ac:dyDescent="0.25">
      <c r="A45" s="15">
        <v>22</v>
      </c>
      <c r="B45" s="15" t="s">
        <v>112</v>
      </c>
      <c r="C45" s="15" t="s">
        <v>142</v>
      </c>
      <c r="D45" s="16">
        <v>0</v>
      </c>
      <c r="E45" s="17">
        <v>0</v>
      </c>
    </row>
    <row r="46" spans="1:5" x14ac:dyDescent="0.25">
      <c r="A46" s="15">
        <v>22</v>
      </c>
      <c r="B46" s="15" t="s">
        <v>112</v>
      </c>
      <c r="C46" s="15" t="s">
        <v>143</v>
      </c>
      <c r="D46" s="16">
        <v>0</v>
      </c>
      <c r="E46" s="17">
        <v>0</v>
      </c>
    </row>
    <row r="47" spans="1:5" x14ac:dyDescent="0.25">
      <c r="A47" s="15">
        <v>22</v>
      </c>
      <c r="B47" s="15" t="s">
        <v>112</v>
      </c>
      <c r="C47" s="15" t="s">
        <v>144</v>
      </c>
      <c r="D47" s="16">
        <v>0</v>
      </c>
      <c r="E47" s="17">
        <v>0</v>
      </c>
    </row>
    <row r="48" spans="1:5" x14ac:dyDescent="0.25">
      <c r="A48" s="15">
        <v>22</v>
      </c>
      <c r="B48" s="15" t="s">
        <v>112</v>
      </c>
      <c r="C48" s="15" t="s">
        <v>145</v>
      </c>
      <c r="D48" s="16">
        <v>0</v>
      </c>
      <c r="E48" s="17">
        <v>0</v>
      </c>
    </row>
    <row r="49" spans="1:5" x14ac:dyDescent="0.25">
      <c r="A49" s="15">
        <v>22</v>
      </c>
      <c r="B49" s="15" t="s">
        <v>112</v>
      </c>
      <c r="C49" s="15" t="s">
        <v>146</v>
      </c>
      <c r="D49" s="16">
        <v>0</v>
      </c>
      <c r="E49" s="17">
        <v>0</v>
      </c>
    </row>
    <row r="50" spans="1:5" x14ac:dyDescent="0.25">
      <c r="A50" s="15">
        <v>22</v>
      </c>
      <c r="B50" s="15" t="s">
        <v>112</v>
      </c>
      <c r="C50" s="15" t="s">
        <v>147</v>
      </c>
      <c r="D50" s="16">
        <v>0</v>
      </c>
      <c r="E50" s="17">
        <v>0</v>
      </c>
    </row>
    <row r="51" spans="1:5" x14ac:dyDescent="0.25">
      <c r="A51" s="15">
        <v>22</v>
      </c>
      <c r="B51" s="15" t="s">
        <v>112</v>
      </c>
      <c r="C51" s="15" t="s">
        <v>148</v>
      </c>
      <c r="D51" s="16">
        <v>0</v>
      </c>
      <c r="E51" s="17">
        <v>0</v>
      </c>
    </row>
    <row r="52" spans="1:5" x14ac:dyDescent="0.25">
      <c r="A52" s="15">
        <v>22</v>
      </c>
      <c r="B52" s="15" t="s">
        <v>112</v>
      </c>
      <c r="C52" s="15" t="s">
        <v>149</v>
      </c>
      <c r="D52" s="16">
        <v>0</v>
      </c>
      <c r="E52" s="17">
        <v>0</v>
      </c>
    </row>
    <row r="53" spans="1:5" x14ac:dyDescent="0.25">
      <c r="A53" s="15">
        <v>22</v>
      </c>
      <c r="B53" s="15" t="s">
        <v>112</v>
      </c>
      <c r="C53" s="15" t="s">
        <v>150</v>
      </c>
      <c r="D53" s="16">
        <v>0</v>
      </c>
      <c r="E53" s="17">
        <v>0</v>
      </c>
    </row>
    <row r="54" spans="1:5" x14ac:dyDescent="0.25">
      <c r="A54" s="15">
        <v>22</v>
      </c>
      <c r="B54" s="15" t="s">
        <v>112</v>
      </c>
      <c r="C54" s="15" t="s">
        <v>151</v>
      </c>
      <c r="D54" s="16">
        <v>0</v>
      </c>
      <c r="E54" s="17">
        <v>0</v>
      </c>
    </row>
    <row r="55" spans="1:5" x14ac:dyDescent="0.25">
      <c r="A55" s="15">
        <v>22</v>
      </c>
      <c r="B55" s="15" t="s">
        <v>112</v>
      </c>
      <c r="C55" s="15" t="s">
        <v>152</v>
      </c>
      <c r="D55" s="16">
        <v>0</v>
      </c>
      <c r="E55" s="17">
        <v>0</v>
      </c>
    </row>
    <row r="56" spans="1:5" x14ac:dyDescent="0.25">
      <c r="A56" s="15">
        <v>22</v>
      </c>
      <c r="B56" s="15" t="s">
        <v>112</v>
      </c>
      <c r="C56" s="15" t="s">
        <v>153</v>
      </c>
      <c r="D56" s="16">
        <v>0</v>
      </c>
      <c r="E56" s="17">
        <v>0</v>
      </c>
    </row>
    <row r="57" spans="1:5" x14ac:dyDescent="0.25">
      <c r="A57" s="15">
        <v>22</v>
      </c>
      <c r="B57" s="15" t="s">
        <v>112</v>
      </c>
      <c r="C57" s="15" t="s">
        <v>154</v>
      </c>
      <c r="D57" s="16">
        <v>0</v>
      </c>
      <c r="E57" s="17">
        <v>0</v>
      </c>
    </row>
    <row r="58" spans="1:5" x14ac:dyDescent="0.25">
      <c r="A58" s="15">
        <v>22</v>
      </c>
      <c r="B58" s="15" t="s">
        <v>112</v>
      </c>
      <c r="C58" s="15" t="s">
        <v>155</v>
      </c>
      <c r="D58" s="16">
        <v>0</v>
      </c>
      <c r="E58" s="17">
        <v>0</v>
      </c>
    </row>
    <row r="59" spans="1:5" x14ac:dyDescent="0.25">
      <c r="A59" s="15">
        <v>22</v>
      </c>
      <c r="B59" s="15" t="s">
        <v>112</v>
      </c>
      <c r="C59" s="15" t="s">
        <v>156</v>
      </c>
      <c r="D59" s="16">
        <v>0</v>
      </c>
      <c r="E59" s="17">
        <v>0</v>
      </c>
    </row>
    <row r="60" spans="1:5" x14ac:dyDescent="0.25">
      <c r="A60" s="15">
        <v>22</v>
      </c>
      <c r="B60" s="15" t="s">
        <v>112</v>
      </c>
      <c r="C60" s="15" t="s">
        <v>157</v>
      </c>
      <c r="D60" s="16">
        <v>0</v>
      </c>
      <c r="E60" s="17">
        <v>0</v>
      </c>
    </row>
    <row r="61" spans="1:5" x14ac:dyDescent="0.25">
      <c r="A61" s="15">
        <v>22</v>
      </c>
      <c r="B61" s="15" t="s">
        <v>112</v>
      </c>
      <c r="C61" s="15" t="s">
        <v>158</v>
      </c>
      <c r="D61" s="16">
        <v>0</v>
      </c>
      <c r="E61" s="17">
        <v>0</v>
      </c>
    </row>
    <row r="62" spans="1:5" x14ac:dyDescent="0.25">
      <c r="A62" s="15">
        <v>22</v>
      </c>
      <c r="B62" s="15" t="s">
        <v>112</v>
      </c>
      <c r="C62" s="15" t="s">
        <v>159</v>
      </c>
      <c r="D62" s="16">
        <v>0</v>
      </c>
      <c r="E62" s="17">
        <v>0</v>
      </c>
    </row>
    <row r="63" spans="1:5" x14ac:dyDescent="0.25">
      <c r="A63" s="15">
        <v>22</v>
      </c>
      <c r="B63" s="15" t="s">
        <v>112</v>
      </c>
      <c r="C63" s="15" t="s">
        <v>160</v>
      </c>
      <c r="D63" s="16">
        <v>0</v>
      </c>
      <c r="E63" s="17">
        <v>0</v>
      </c>
    </row>
    <row r="64" spans="1:5" x14ac:dyDescent="0.25">
      <c r="A64" s="15">
        <v>22</v>
      </c>
      <c r="B64" s="15" t="s">
        <v>112</v>
      </c>
      <c r="C64" s="15" t="s">
        <v>161</v>
      </c>
      <c r="D64" s="16">
        <v>0</v>
      </c>
      <c r="E64" s="17">
        <v>0</v>
      </c>
    </row>
    <row r="65" spans="1:5" x14ac:dyDescent="0.25">
      <c r="A65" s="15">
        <v>22</v>
      </c>
      <c r="B65" s="15" t="s">
        <v>112</v>
      </c>
      <c r="C65" s="15" t="s">
        <v>162</v>
      </c>
      <c r="D65" s="16">
        <v>0</v>
      </c>
      <c r="E65" s="17">
        <v>0</v>
      </c>
    </row>
    <row r="66" spans="1:5" x14ac:dyDescent="0.25">
      <c r="A66" s="15">
        <v>22</v>
      </c>
      <c r="B66" s="15" t="s">
        <v>112</v>
      </c>
      <c r="C66" s="15" t="s">
        <v>163</v>
      </c>
      <c r="D66" s="16">
        <v>0</v>
      </c>
      <c r="E66" s="17">
        <v>0</v>
      </c>
    </row>
    <row r="67" spans="1:5" x14ac:dyDescent="0.25">
      <c r="A67" s="15">
        <v>22</v>
      </c>
      <c r="B67" s="15" t="s">
        <v>112</v>
      </c>
      <c r="C67" s="15" t="s">
        <v>164</v>
      </c>
      <c r="D67" s="16">
        <v>0</v>
      </c>
      <c r="E67" s="17">
        <v>0</v>
      </c>
    </row>
    <row r="68" spans="1:5" x14ac:dyDescent="0.25">
      <c r="A68" s="15">
        <v>22</v>
      </c>
      <c r="B68" s="15" t="s">
        <v>112</v>
      </c>
      <c r="C68" s="15" t="s">
        <v>165</v>
      </c>
      <c r="D68" s="16">
        <v>0</v>
      </c>
      <c r="E68" s="17">
        <v>0</v>
      </c>
    </row>
    <row r="69" spans="1:5" x14ac:dyDescent="0.25">
      <c r="A69" s="15">
        <v>22</v>
      </c>
      <c r="B69" s="15" t="s">
        <v>112</v>
      </c>
      <c r="C69" s="15" t="s">
        <v>166</v>
      </c>
      <c r="D69" s="16">
        <v>0</v>
      </c>
      <c r="E69" s="17">
        <v>0</v>
      </c>
    </row>
    <row r="70" spans="1:5" x14ac:dyDescent="0.25">
      <c r="A70" s="15">
        <v>22</v>
      </c>
      <c r="B70" s="15" t="s">
        <v>112</v>
      </c>
      <c r="C70" s="15" t="s">
        <v>167</v>
      </c>
      <c r="D70" s="16">
        <v>0</v>
      </c>
      <c r="E70" s="17">
        <v>0</v>
      </c>
    </row>
    <row r="71" spans="1:5" x14ac:dyDescent="0.25">
      <c r="A71" s="15">
        <v>22</v>
      </c>
      <c r="B71" s="15" t="s">
        <v>112</v>
      </c>
      <c r="C71" s="15" t="s">
        <v>168</v>
      </c>
      <c r="D71" s="16">
        <v>0</v>
      </c>
      <c r="E71" s="17">
        <v>0</v>
      </c>
    </row>
    <row r="72" spans="1:5" x14ac:dyDescent="0.25">
      <c r="A72" s="15">
        <v>22</v>
      </c>
      <c r="B72" s="15" t="s">
        <v>112</v>
      </c>
      <c r="C72" s="15" t="s">
        <v>169</v>
      </c>
      <c r="D72" s="16">
        <v>0</v>
      </c>
      <c r="E72" s="17">
        <v>0</v>
      </c>
    </row>
    <row r="73" spans="1:5" x14ac:dyDescent="0.25">
      <c r="A73" s="15">
        <v>22</v>
      </c>
      <c r="B73" s="15" t="s">
        <v>112</v>
      </c>
      <c r="C73" s="15" t="s">
        <v>170</v>
      </c>
      <c r="D73" s="16">
        <v>0</v>
      </c>
      <c r="E73" s="17">
        <v>0</v>
      </c>
    </row>
    <row r="74" spans="1:5" x14ac:dyDescent="0.25">
      <c r="A74" s="15">
        <v>22</v>
      </c>
      <c r="B74" s="15" t="s">
        <v>112</v>
      </c>
      <c r="C74" s="15" t="s">
        <v>171</v>
      </c>
      <c r="D74" s="16">
        <v>0</v>
      </c>
      <c r="E74" s="17">
        <v>0</v>
      </c>
    </row>
    <row r="75" spans="1:5" x14ac:dyDescent="0.25">
      <c r="A75" s="15">
        <v>22</v>
      </c>
      <c r="B75" s="15" t="s">
        <v>112</v>
      </c>
      <c r="C75" s="15" t="s">
        <v>172</v>
      </c>
      <c r="D75" s="16">
        <v>0</v>
      </c>
      <c r="E75" s="17">
        <v>0</v>
      </c>
    </row>
    <row r="76" spans="1:5" x14ac:dyDescent="0.25">
      <c r="A76" s="15">
        <v>22</v>
      </c>
      <c r="B76" s="15" t="s">
        <v>112</v>
      </c>
      <c r="C76" s="15" t="s">
        <v>173</v>
      </c>
      <c r="D76" s="16">
        <v>0</v>
      </c>
      <c r="E76" s="17">
        <v>0</v>
      </c>
    </row>
    <row r="77" spans="1:5" x14ac:dyDescent="0.25">
      <c r="A77" s="15">
        <v>22</v>
      </c>
      <c r="B77" s="15" t="s">
        <v>112</v>
      </c>
      <c r="C77" s="15" t="s">
        <v>174</v>
      </c>
      <c r="D77" s="16">
        <v>0</v>
      </c>
      <c r="E77" s="17">
        <v>0</v>
      </c>
    </row>
    <row r="78" spans="1:5" x14ac:dyDescent="0.25">
      <c r="A78" s="15">
        <v>22</v>
      </c>
      <c r="B78" s="15" t="s">
        <v>112</v>
      </c>
      <c r="C78" s="15" t="s">
        <v>175</v>
      </c>
      <c r="D78" s="16">
        <v>0</v>
      </c>
      <c r="E78" s="17">
        <v>0</v>
      </c>
    </row>
    <row r="79" spans="1:5" x14ac:dyDescent="0.25">
      <c r="A79" s="15">
        <v>22</v>
      </c>
      <c r="B79" s="15" t="s">
        <v>112</v>
      </c>
      <c r="C79" s="15" t="s">
        <v>176</v>
      </c>
      <c r="D79" s="16">
        <v>0</v>
      </c>
      <c r="E79" s="17">
        <v>0</v>
      </c>
    </row>
    <row r="80" spans="1:5" x14ac:dyDescent="0.25">
      <c r="A80" s="15">
        <v>22</v>
      </c>
      <c r="B80" s="15" t="s">
        <v>112</v>
      </c>
      <c r="C80" s="15" t="s">
        <v>177</v>
      </c>
      <c r="D80" s="16">
        <v>0</v>
      </c>
      <c r="E80" s="17">
        <v>0</v>
      </c>
    </row>
    <row r="81" spans="1:5" x14ac:dyDescent="0.25">
      <c r="A81" s="3"/>
      <c r="B81" s="3"/>
      <c r="C81" s="3"/>
      <c r="D81" s="3"/>
      <c r="E81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2"/>
  <sheetViews>
    <sheetView workbookViewId="0">
      <selection activeCell="D36" sqref="D36"/>
    </sheetView>
  </sheetViews>
  <sheetFormatPr defaultRowHeight="15" x14ac:dyDescent="0.25"/>
  <cols>
    <col min="2" max="2" width="12.85546875" bestFit="1" customWidth="1"/>
    <col min="3" max="3" width="18.140625" bestFit="1" customWidth="1"/>
    <col min="4" max="4" width="39.85546875" bestFit="1" customWidth="1"/>
    <col min="5" max="5" width="7.140625" bestFit="1" customWidth="1"/>
  </cols>
  <sheetData>
    <row r="1" spans="1:5" ht="15.75" customHeight="1" thickBot="1" x14ac:dyDescent="0.3">
      <c r="A1" s="18"/>
      <c r="B1" s="19"/>
      <c r="C1" s="19"/>
      <c r="D1" s="19"/>
      <c r="E1" s="19"/>
    </row>
    <row r="2" spans="1:5" ht="15.75" customHeight="1" thickBot="1" x14ac:dyDescent="0.3">
      <c r="A2" s="18"/>
      <c r="B2" s="20" t="s">
        <v>178</v>
      </c>
      <c r="C2" s="20" t="s">
        <v>179</v>
      </c>
      <c r="D2" s="20" t="s">
        <v>180</v>
      </c>
      <c r="E2" s="21">
        <v>46113</v>
      </c>
    </row>
    <row r="3" spans="1:5" ht="15.75" customHeight="1" thickBot="1" x14ac:dyDescent="0.3">
      <c r="A3" s="18"/>
      <c r="B3" s="22" t="s">
        <v>181</v>
      </c>
      <c r="C3" s="22" t="s">
        <v>182</v>
      </c>
      <c r="D3" s="22" t="s">
        <v>183</v>
      </c>
      <c r="E3" s="22">
        <v>7</v>
      </c>
    </row>
    <row r="4" spans="1:5" ht="15.75" customHeight="1" thickBot="1" x14ac:dyDescent="0.3">
      <c r="A4" s="18"/>
      <c r="B4" s="22" t="s">
        <v>181</v>
      </c>
      <c r="C4" s="22" t="s">
        <v>182</v>
      </c>
      <c r="D4" s="22" t="s">
        <v>184</v>
      </c>
      <c r="E4" s="22">
        <v>43</v>
      </c>
    </row>
    <row r="5" spans="1:5" ht="15.75" customHeight="1" thickBot="1" x14ac:dyDescent="0.3">
      <c r="A5" s="18"/>
      <c r="B5" s="22" t="s">
        <v>181</v>
      </c>
      <c r="C5" s="22" t="s">
        <v>182</v>
      </c>
      <c r="D5" s="22" t="s">
        <v>185</v>
      </c>
      <c r="E5" s="22">
        <v>23</v>
      </c>
    </row>
    <row r="6" spans="1:5" ht="15.75" customHeight="1" thickBot="1" x14ac:dyDescent="0.3">
      <c r="A6" s="18"/>
      <c r="B6" s="22" t="s">
        <v>181</v>
      </c>
      <c r="C6" s="22" t="s">
        <v>182</v>
      </c>
      <c r="D6" s="22" t="s">
        <v>186</v>
      </c>
      <c r="E6" s="22">
        <v>7</v>
      </c>
    </row>
    <row r="7" spans="1:5" ht="15.75" customHeight="1" thickBot="1" x14ac:dyDescent="0.3">
      <c r="A7" s="18"/>
      <c r="B7" s="22" t="s">
        <v>181</v>
      </c>
      <c r="C7" s="22" t="s">
        <v>182</v>
      </c>
      <c r="D7" s="22" t="s">
        <v>187</v>
      </c>
      <c r="E7" s="22" t="s">
        <v>188</v>
      </c>
    </row>
    <row r="8" spans="1:5" ht="15.75" customHeight="1" thickBot="1" x14ac:dyDescent="0.3">
      <c r="A8" s="18"/>
      <c r="B8" s="22" t="s">
        <v>181</v>
      </c>
      <c r="C8" s="22" t="s">
        <v>182</v>
      </c>
      <c r="D8" s="22" t="s">
        <v>189</v>
      </c>
      <c r="E8" s="22" t="s">
        <v>188</v>
      </c>
    </row>
    <row r="9" spans="1:5" ht="15.75" customHeight="1" thickBot="1" x14ac:dyDescent="0.3">
      <c r="A9" s="18"/>
      <c r="B9" s="22" t="s">
        <v>181</v>
      </c>
      <c r="C9" s="22" t="s">
        <v>182</v>
      </c>
      <c r="D9" s="22" t="s">
        <v>190</v>
      </c>
      <c r="E9" s="22">
        <v>1</v>
      </c>
    </row>
    <row r="10" spans="1:5" ht="15.75" customHeight="1" thickBot="1" x14ac:dyDescent="0.3">
      <c r="A10" s="18"/>
      <c r="B10" s="22" t="s">
        <v>181</v>
      </c>
      <c r="C10" s="22" t="s">
        <v>182</v>
      </c>
      <c r="D10" s="22" t="s">
        <v>191</v>
      </c>
      <c r="E10" s="22">
        <v>936</v>
      </c>
    </row>
    <row r="11" spans="1:5" ht="15.75" customHeight="1" thickBot="1" x14ac:dyDescent="0.3">
      <c r="A11" s="18"/>
      <c r="B11" s="22" t="s">
        <v>181</v>
      </c>
      <c r="C11" s="22" t="s">
        <v>182</v>
      </c>
      <c r="D11" s="22" t="s">
        <v>192</v>
      </c>
      <c r="E11" s="23">
        <v>2545</v>
      </c>
    </row>
    <row r="12" spans="1:5" ht="15.75" customHeight="1" thickBot="1" x14ac:dyDescent="0.3">
      <c r="A12" s="18"/>
      <c r="B12" s="22" t="s">
        <v>181</v>
      </c>
      <c r="C12" s="22" t="s">
        <v>182</v>
      </c>
      <c r="D12" s="22" t="s">
        <v>193</v>
      </c>
      <c r="E12" s="23">
        <v>1207</v>
      </c>
    </row>
    <row r="13" spans="1:5" ht="15.75" customHeight="1" thickBot="1" x14ac:dyDescent="0.3">
      <c r="A13" s="18"/>
      <c r="B13" s="22" t="s">
        <v>181</v>
      </c>
      <c r="C13" s="22" t="s">
        <v>182</v>
      </c>
      <c r="D13" s="22" t="s">
        <v>194</v>
      </c>
      <c r="E13" s="23">
        <v>1997</v>
      </c>
    </row>
    <row r="14" spans="1:5" ht="15.75" customHeight="1" thickBot="1" x14ac:dyDescent="0.3">
      <c r="A14" s="18"/>
      <c r="B14" s="22" t="s">
        <v>181</v>
      </c>
      <c r="C14" s="22" t="s">
        <v>182</v>
      </c>
      <c r="D14" s="22" t="s">
        <v>195</v>
      </c>
      <c r="E14" s="22">
        <v>88</v>
      </c>
    </row>
    <row r="15" spans="1:5" ht="15.75" customHeight="1" thickBot="1" x14ac:dyDescent="0.3">
      <c r="A15" s="18"/>
      <c r="B15" s="22" t="s">
        <v>181</v>
      </c>
      <c r="C15" s="22" t="s">
        <v>182</v>
      </c>
      <c r="D15" s="22" t="s">
        <v>196</v>
      </c>
      <c r="E15" s="22">
        <v>2</v>
      </c>
    </row>
    <row r="16" spans="1:5" ht="15.75" customHeight="1" thickBot="1" x14ac:dyDescent="0.3">
      <c r="A16" s="18"/>
      <c r="B16" s="22" t="s">
        <v>181</v>
      </c>
      <c r="C16" s="22" t="s">
        <v>182</v>
      </c>
      <c r="D16" s="22" t="s">
        <v>197</v>
      </c>
      <c r="E16" s="22" t="s">
        <v>188</v>
      </c>
    </row>
    <row r="17" spans="1:5" ht="15.75" customHeight="1" thickBot="1" x14ac:dyDescent="0.3">
      <c r="A17" s="18"/>
      <c r="B17" s="22" t="s">
        <v>181</v>
      </c>
      <c r="C17" s="22" t="s">
        <v>198</v>
      </c>
      <c r="D17" s="22" t="s">
        <v>199</v>
      </c>
      <c r="E17" s="22" t="s">
        <v>188</v>
      </c>
    </row>
    <row r="18" spans="1:5" ht="15.75" customHeight="1" thickBot="1" x14ac:dyDescent="0.3">
      <c r="A18" s="18"/>
      <c r="B18" s="22" t="s">
        <v>181</v>
      </c>
      <c r="C18" s="22" t="s">
        <v>198</v>
      </c>
      <c r="D18" s="22" t="s">
        <v>200</v>
      </c>
      <c r="E18" s="22">
        <v>17</v>
      </c>
    </row>
    <row r="19" spans="1:5" ht="15.75" customHeight="1" thickBot="1" x14ac:dyDescent="0.3">
      <c r="A19" s="18"/>
      <c r="B19" s="22" t="s">
        <v>181</v>
      </c>
      <c r="C19" s="22" t="s">
        <v>201</v>
      </c>
      <c r="D19" s="22" t="s">
        <v>202</v>
      </c>
      <c r="E19" s="23">
        <v>2844</v>
      </c>
    </row>
    <row r="20" spans="1:5" ht="15.75" customHeight="1" thickBot="1" x14ac:dyDescent="0.3">
      <c r="A20" s="18"/>
      <c r="B20" s="22" t="s">
        <v>181</v>
      </c>
      <c r="C20" s="22" t="s">
        <v>198</v>
      </c>
      <c r="D20" s="22" t="s">
        <v>203</v>
      </c>
      <c r="E20" s="22">
        <v>175</v>
      </c>
    </row>
    <row r="21" spans="1:5" ht="15.75" customHeight="1" thickBot="1" x14ac:dyDescent="0.3">
      <c r="A21" s="18"/>
      <c r="B21" s="22" t="s">
        <v>181</v>
      </c>
      <c r="C21" s="22" t="s">
        <v>198</v>
      </c>
      <c r="D21" s="22" t="s">
        <v>204</v>
      </c>
      <c r="E21" s="22">
        <v>68</v>
      </c>
    </row>
    <row r="22" spans="1:5" ht="15.75" customHeight="1" thickBot="1" x14ac:dyDescent="0.3">
      <c r="A22" s="18"/>
      <c r="B22" s="22" t="s">
        <v>181</v>
      </c>
      <c r="C22" s="22" t="s">
        <v>198</v>
      </c>
      <c r="D22" s="22" t="s">
        <v>205</v>
      </c>
      <c r="E22" s="23">
        <v>1178</v>
      </c>
    </row>
    <row r="23" spans="1:5" ht="15.75" customHeight="1" thickBot="1" x14ac:dyDescent="0.3">
      <c r="A23" s="18"/>
      <c r="B23" s="22" t="s">
        <v>181</v>
      </c>
      <c r="C23" s="22" t="s">
        <v>198</v>
      </c>
      <c r="D23" s="22" t="s">
        <v>206</v>
      </c>
      <c r="E23" s="22">
        <v>195</v>
      </c>
    </row>
    <row r="24" spans="1:5" ht="15.75" customHeight="1" thickBot="1" x14ac:dyDescent="0.3">
      <c r="A24" s="18"/>
      <c r="B24" s="22" t="s">
        <v>181</v>
      </c>
      <c r="C24" s="22" t="s">
        <v>198</v>
      </c>
      <c r="D24" s="22" t="s">
        <v>207</v>
      </c>
      <c r="E24" s="22">
        <v>11</v>
      </c>
    </row>
    <row r="25" spans="1:5" ht="15.75" customHeight="1" thickBot="1" x14ac:dyDescent="0.3">
      <c r="A25" s="18"/>
      <c r="B25" s="22" t="s">
        <v>181</v>
      </c>
      <c r="C25" s="22" t="s">
        <v>201</v>
      </c>
      <c r="D25" s="22" t="s">
        <v>208</v>
      </c>
      <c r="E25" s="23">
        <v>46368</v>
      </c>
    </row>
    <row r="26" spans="1:5" ht="15.75" customHeight="1" thickBot="1" x14ac:dyDescent="0.3">
      <c r="A26" s="18"/>
      <c r="B26" s="22" t="s">
        <v>181</v>
      </c>
      <c r="C26" s="22" t="s">
        <v>182</v>
      </c>
      <c r="D26" s="22" t="s">
        <v>209</v>
      </c>
      <c r="E26" s="22">
        <v>1</v>
      </c>
    </row>
    <row r="27" spans="1:5" ht="15.75" customHeight="1" thickBot="1" x14ac:dyDescent="0.3">
      <c r="A27" s="18"/>
      <c r="B27" s="22" t="s">
        <v>181</v>
      </c>
      <c r="C27" s="22" t="s">
        <v>182</v>
      </c>
      <c r="D27" s="22" t="s">
        <v>210</v>
      </c>
      <c r="E27" s="22">
        <v>9</v>
      </c>
    </row>
    <row r="28" spans="1:5" ht="15.75" customHeight="1" thickBot="1" x14ac:dyDescent="0.3">
      <c r="A28" s="18"/>
      <c r="B28" s="22" t="s">
        <v>181</v>
      </c>
      <c r="C28" s="22" t="s">
        <v>198</v>
      </c>
      <c r="D28" s="22" t="s">
        <v>211</v>
      </c>
      <c r="E28" s="22">
        <v>1</v>
      </c>
    </row>
    <row r="29" spans="1:5" ht="15.75" customHeight="1" thickBot="1" x14ac:dyDescent="0.3">
      <c r="A29" s="18"/>
      <c r="B29" s="22" t="s">
        <v>181</v>
      </c>
      <c r="C29" s="22" t="s">
        <v>198</v>
      </c>
      <c r="D29" s="22" t="s">
        <v>212</v>
      </c>
      <c r="E29" s="22">
        <v>2</v>
      </c>
    </row>
    <row r="30" spans="1:5" ht="15.75" customHeight="1" thickBot="1" x14ac:dyDescent="0.3">
      <c r="A30" s="18"/>
      <c r="B30" s="22" t="s">
        <v>181</v>
      </c>
      <c r="C30" s="22" t="s">
        <v>198</v>
      </c>
      <c r="D30" s="22" t="s">
        <v>213</v>
      </c>
      <c r="E30" s="22">
        <v>1</v>
      </c>
    </row>
    <row r="31" spans="1:5" ht="15.75" customHeight="1" thickBot="1" x14ac:dyDescent="0.3">
      <c r="A31" s="18"/>
      <c r="B31" s="22" t="s">
        <v>181</v>
      </c>
      <c r="C31" s="22" t="s">
        <v>198</v>
      </c>
      <c r="D31" s="22" t="s">
        <v>214</v>
      </c>
      <c r="E31" s="22" t="s">
        <v>188</v>
      </c>
    </row>
    <row r="32" spans="1:5" ht="15.75" customHeight="1" thickBot="1" x14ac:dyDescent="0.3">
      <c r="A32" s="18"/>
      <c r="B32" s="22" t="s">
        <v>181</v>
      </c>
      <c r="C32" s="22" t="s">
        <v>198</v>
      </c>
      <c r="D32" s="22" t="s">
        <v>215</v>
      </c>
      <c r="E32" s="22">
        <v>31</v>
      </c>
    </row>
    <row r="33" spans="1:5" ht="15.75" customHeight="1" thickBot="1" x14ac:dyDescent="0.3">
      <c r="A33" s="18"/>
      <c r="B33" s="22" t="s">
        <v>181</v>
      </c>
      <c r="C33" s="22" t="s">
        <v>198</v>
      </c>
      <c r="D33" s="22" t="s">
        <v>216</v>
      </c>
      <c r="E33" s="22" t="s">
        <v>188</v>
      </c>
    </row>
    <row r="34" spans="1:5" ht="15.75" customHeight="1" thickBot="1" x14ac:dyDescent="0.3">
      <c r="A34" s="18"/>
      <c r="B34" s="22" t="s">
        <v>181</v>
      </c>
      <c r="C34" s="22" t="s">
        <v>198</v>
      </c>
      <c r="D34" s="22" t="s">
        <v>217</v>
      </c>
      <c r="E34" s="22">
        <v>32</v>
      </c>
    </row>
    <row r="35" spans="1:5" ht="15.75" customHeight="1" thickBot="1" x14ac:dyDescent="0.3">
      <c r="A35" s="18"/>
      <c r="B35" s="22" t="s">
        <v>181</v>
      </c>
      <c r="C35" s="22" t="s">
        <v>198</v>
      </c>
      <c r="D35" s="22" t="s">
        <v>218</v>
      </c>
      <c r="E35" s="22">
        <v>2</v>
      </c>
    </row>
    <row r="36" spans="1:5" ht="15.75" customHeight="1" thickBot="1" x14ac:dyDescent="0.3">
      <c r="A36" s="18"/>
      <c r="B36" s="22" t="s">
        <v>219</v>
      </c>
      <c r="C36" s="22" t="s">
        <v>182</v>
      </c>
      <c r="D36" s="22" t="s">
        <v>220</v>
      </c>
      <c r="E36" s="22">
        <v>1</v>
      </c>
    </row>
    <row r="37" spans="1:5" ht="15.75" customHeight="1" thickBot="1" x14ac:dyDescent="0.3">
      <c r="A37" s="18"/>
      <c r="B37" s="22" t="s">
        <v>181</v>
      </c>
      <c r="C37" s="22" t="s">
        <v>182</v>
      </c>
      <c r="D37" s="22" t="s">
        <v>189</v>
      </c>
      <c r="E37" s="22" t="s">
        <v>188</v>
      </c>
    </row>
    <row r="38" spans="1:5" ht="15.75" customHeight="1" thickBot="1" x14ac:dyDescent="0.3">
      <c r="A38" s="18"/>
      <c r="B38" s="22" t="s">
        <v>219</v>
      </c>
      <c r="C38" s="22" t="s">
        <v>182</v>
      </c>
      <c r="D38" s="22" t="s">
        <v>221</v>
      </c>
      <c r="E38" s="22">
        <v>6</v>
      </c>
    </row>
    <row r="39" spans="1:5" ht="15.75" customHeight="1" thickBot="1" x14ac:dyDescent="0.3">
      <c r="A39" s="18"/>
      <c r="B39" s="22" t="s">
        <v>219</v>
      </c>
      <c r="C39" s="22" t="s">
        <v>182</v>
      </c>
      <c r="D39" s="22" t="s">
        <v>222</v>
      </c>
      <c r="E39" s="22">
        <v>11</v>
      </c>
    </row>
    <row r="40" spans="1:5" ht="15.75" customHeight="1" thickBot="1" x14ac:dyDescent="0.3">
      <c r="A40" s="18"/>
      <c r="B40" s="22" t="s">
        <v>219</v>
      </c>
      <c r="C40" s="22" t="s">
        <v>182</v>
      </c>
      <c r="D40" s="22" t="s">
        <v>223</v>
      </c>
      <c r="E40" s="22">
        <v>428</v>
      </c>
    </row>
    <row r="41" spans="1:5" ht="15.75" customHeight="1" thickBot="1" x14ac:dyDescent="0.3">
      <c r="A41" s="18"/>
      <c r="B41" s="22" t="s">
        <v>219</v>
      </c>
      <c r="C41" s="22" t="s">
        <v>182</v>
      </c>
      <c r="D41" s="22" t="s">
        <v>224</v>
      </c>
      <c r="E41" s="22">
        <v>5</v>
      </c>
    </row>
    <row r="42" spans="1:5" ht="15.75" customHeight="1" thickBot="1" x14ac:dyDescent="0.3">
      <c r="A42" s="18"/>
      <c r="B42" s="22" t="s">
        <v>219</v>
      </c>
      <c r="C42" s="22" t="s">
        <v>182</v>
      </c>
      <c r="D42" s="22" t="s">
        <v>225</v>
      </c>
      <c r="E42" s="22">
        <v>89</v>
      </c>
    </row>
    <row r="43" spans="1:5" ht="15.75" customHeight="1" thickBot="1" x14ac:dyDescent="0.3">
      <c r="A43" s="18"/>
      <c r="B43" s="22" t="s">
        <v>219</v>
      </c>
      <c r="C43" s="22" t="s">
        <v>182</v>
      </c>
      <c r="D43" s="22" t="s">
        <v>226</v>
      </c>
      <c r="E43" s="22">
        <v>157</v>
      </c>
    </row>
    <row r="44" spans="1:5" ht="15.75" customHeight="1" thickBot="1" x14ac:dyDescent="0.3">
      <c r="A44" s="18"/>
      <c r="B44" s="22" t="s">
        <v>219</v>
      </c>
      <c r="C44" s="22" t="s">
        <v>182</v>
      </c>
      <c r="D44" s="22" t="s">
        <v>227</v>
      </c>
      <c r="E44" s="22">
        <v>325</v>
      </c>
    </row>
    <row r="45" spans="1:5" ht="15.75" customHeight="1" thickBot="1" x14ac:dyDescent="0.3">
      <c r="A45" s="18"/>
      <c r="B45" s="22" t="s">
        <v>219</v>
      </c>
      <c r="C45" s="22" t="s">
        <v>182</v>
      </c>
      <c r="D45" s="22" t="s">
        <v>228</v>
      </c>
      <c r="E45" s="22" t="s">
        <v>188</v>
      </c>
    </row>
    <row r="46" spans="1:5" ht="15.75" customHeight="1" thickBot="1" x14ac:dyDescent="0.3">
      <c r="A46" s="18"/>
      <c r="B46" s="22" t="s">
        <v>219</v>
      </c>
      <c r="C46" s="22" t="s">
        <v>182</v>
      </c>
      <c r="D46" s="22" t="s">
        <v>229</v>
      </c>
      <c r="E46" s="22">
        <v>108</v>
      </c>
    </row>
    <row r="47" spans="1:5" ht="15.75" customHeight="1" thickBot="1" x14ac:dyDescent="0.3">
      <c r="A47" s="18"/>
      <c r="B47" s="22" t="s">
        <v>219</v>
      </c>
      <c r="C47" s="22" t="s">
        <v>182</v>
      </c>
      <c r="D47" s="22" t="s">
        <v>230</v>
      </c>
      <c r="E47" s="22">
        <v>5</v>
      </c>
    </row>
    <row r="48" spans="1:5" ht="15.75" customHeight="1" thickBot="1" x14ac:dyDescent="0.3">
      <c r="A48" s="18"/>
      <c r="B48" s="22" t="s">
        <v>219</v>
      </c>
      <c r="C48" s="22" t="s">
        <v>182</v>
      </c>
      <c r="D48" s="22" t="s">
        <v>231</v>
      </c>
      <c r="E48" s="22" t="s">
        <v>188</v>
      </c>
    </row>
    <row r="49" spans="1:5" ht="15.75" customHeight="1" thickBot="1" x14ac:dyDescent="0.3">
      <c r="A49" s="18"/>
      <c r="B49" s="22" t="s">
        <v>219</v>
      </c>
      <c r="C49" s="22" t="s">
        <v>182</v>
      </c>
      <c r="D49" s="22" t="s">
        <v>232</v>
      </c>
      <c r="E49" s="22" t="s">
        <v>188</v>
      </c>
    </row>
    <row r="50" spans="1:5" ht="15.75" customHeight="1" thickBot="1" x14ac:dyDescent="0.3">
      <c r="A50" s="18"/>
      <c r="B50" s="22" t="s">
        <v>219</v>
      </c>
      <c r="C50" s="22" t="s">
        <v>182</v>
      </c>
      <c r="D50" s="22" t="s">
        <v>233</v>
      </c>
      <c r="E50" s="22">
        <v>152</v>
      </c>
    </row>
    <row r="51" spans="1:5" ht="15.75" customHeight="1" thickBot="1" x14ac:dyDescent="0.3">
      <c r="A51" s="18"/>
      <c r="B51" s="22" t="s">
        <v>219</v>
      </c>
      <c r="C51" s="22" t="s">
        <v>182</v>
      </c>
      <c r="D51" s="22" t="s">
        <v>234</v>
      </c>
      <c r="E51" s="22">
        <v>14</v>
      </c>
    </row>
    <row r="52" spans="1:5" ht="15.75" customHeight="1" thickBot="1" x14ac:dyDescent="0.3">
      <c r="A52" s="18"/>
      <c r="B52" s="22" t="s">
        <v>219</v>
      </c>
      <c r="C52" s="22" t="s">
        <v>182</v>
      </c>
      <c r="D52" s="22" t="s">
        <v>235</v>
      </c>
      <c r="E52" s="22">
        <v>2</v>
      </c>
    </row>
    <row r="53" spans="1:5" ht="15.75" customHeight="1" thickBot="1" x14ac:dyDescent="0.3">
      <c r="A53" s="18"/>
      <c r="B53" s="22" t="s">
        <v>219</v>
      </c>
      <c r="C53" s="22" t="s">
        <v>182</v>
      </c>
      <c r="D53" s="22" t="s">
        <v>236</v>
      </c>
      <c r="E53" s="22">
        <v>3</v>
      </c>
    </row>
    <row r="54" spans="1:5" ht="15.75" customHeight="1" thickBot="1" x14ac:dyDescent="0.3">
      <c r="A54" s="18"/>
      <c r="B54" s="22" t="s">
        <v>219</v>
      </c>
      <c r="C54" s="22" t="s">
        <v>182</v>
      </c>
      <c r="D54" s="22" t="s">
        <v>237</v>
      </c>
      <c r="E54" s="22">
        <v>21</v>
      </c>
    </row>
    <row r="55" spans="1:5" ht="15.75" customHeight="1" thickBot="1" x14ac:dyDescent="0.3">
      <c r="A55" s="18"/>
      <c r="B55" s="22" t="s">
        <v>219</v>
      </c>
      <c r="C55" s="22" t="s">
        <v>182</v>
      </c>
      <c r="D55" s="22" t="s">
        <v>238</v>
      </c>
      <c r="E55" s="22">
        <v>1</v>
      </c>
    </row>
    <row r="56" spans="1:5" ht="15.75" customHeight="1" thickBot="1" x14ac:dyDescent="0.3">
      <c r="A56" s="18"/>
      <c r="B56" s="22" t="s">
        <v>219</v>
      </c>
      <c r="C56" s="22" t="s">
        <v>182</v>
      </c>
      <c r="D56" s="22" t="s">
        <v>239</v>
      </c>
      <c r="E56" s="22">
        <v>6</v>
      </c>
    </row>
    <row r="57" spans="1:5" ht="15.75" customHeight="1" thickBot="1" x14ac:dyDescent="0.3">
      <c r="A57" s="18"/>
      <c r="B57" s="22" t="s">
        <v>219</v>
      </c>
      <c r="C57" s="22" t="s">
        <v>182</v>
      </c>
      <c r="D57" s="22" t="s">
        <v>240</v>
      </c>
      <c r="E57" s="22">
        <v>6</v>
      </c>
    </row>
    <row r="58" spans="1:5" ht="15.75" customHeight="1" thickBot="1" x14ac:dyDescent="0.3">
      <c r="A58" s="18"/>
      <c r="B58" s="22" t="s">
        <v>219</v>
      </c>
      <c r="C58" s="22" t="s">
        <v>182</v>
      </c>
      <c r="D58" s="22" t="s">
        <v>241</v>
      </c>
      <c r="E58" s="22">
        <v>90</v>
      </c>
    </row>
    <row r="59" spans="1:5" ht="15.75" customHeight="1" thickBot="1" x14ac:dyDescent="0.3">
      <c r="A59" s="18"/>
      <c r="B59" s="22" t="s">
        <v>219</v>
      </c>
      <c r="C59" s="22" t="s">
        <v>182</v>
      </c>
      <c r="D59" s="22" t="s">
        <v>242</v>
      </c>
      <c r="E59" s="23">
        <v>15366</v>
      </c>
    </row>
    <row r="60" spans="1:5" ht="15.75" customHeight="1" thickBot="1" x14ac:dyDescent="0.3">
      <c r="A60" s="18"/>
      <c r="B60" s="22" t="s">
        <v>219</v>
      </c>
      <c r="C60" s="22" t="s">
        <v>182</v>
      </c>
      <c r="D60" s="22" t="s">
        <v>243</v>
      </c>
      <c r="E60" s="23">
        <v>27148</v>
      </c>
    </row>
    <row r="61" spans="1:5" ht="15.75" customHeight="1" thickBot="1" x14ac:dyDescent="0.3">
      <c r="A61" s="18"/>
      <c r="B61" s="22" t="s">
        <v>219</v>
      </c>
      <c r="C61" s="22" t="s">
        <v>182</v>
      </c>
      <c r="D61" s="22" t="s">
        <v>244</v>
      </c>
      <c r="E61" s="22">
        <v>1</v>
      </c>
    </row>
    <row r="62" spans="1:5" ht="15.75" customHeight="1" thickBot="1" x14ac:dyDescent="0.3">
      <c r="A62" s="18"/>
      <c r="B62" s="22" t="s">
        <v>219</v>
      </c>
      <c r="C62" s="22" t="s">
        <v>182</v>
      </c>
      <c r="D62" s="22" t="s">
        <v>245</v>
      </c>
      <c r="E62" s="22">
        <v>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4"/>
  <sheetViews>
    <sheetView workbookViewId="0">
      <selection activeCell="N37" sqref="N37"/>
    </sheetView>
  </sheetViews>
  <sheetFormatPr defaultRowHeight="15" x14ac:dyDescent="0.25"/>
  <sheetData>
    <row r="1" spans="1:7" x14ac:dyDescent="0.25">
      <c r="A1" s="1" t="s">
        <v>0</v>
      </c>
      <c r="B1" s="1" t="s">
        <v>246</v>
      </c>
      <c r="C1" s="1" t="s">
        <v>247</v>
      </c>
      <c r="D1" s="1" t="s">
        <v>248</v>
      </c>
      <c r="E1" s="1" t="s">
        <v>249</v>
      </c>
      <c r="F1" s="1" t="s">
        <v>250</v>
      </c>
      <c r="G1" s="1" t="s">
        <v>251</v>
      </c>
    </row>
    <row r="2" spans="1:7" x14ac:dyDescent="0.25">
      <c r="A2" t="s">
        <v>29</v>
      </c>
      <c r="B2">
        <v>275958000</v>
      </c>
      <c r="C2">
        <v>2929944000</v>
      </c>
      <c r="D2">
        <v>0</v>
      </c>
      <c r="E2">
        <v>55912000</v>
      </c>
      <c r="F2">
        <v>10792000</v>
      </c>
    </row>
    <row r="3" spans="1:7" x14ac:dyDescent="0.25">
      <c r="A3" t="s">
        <v>30</v>
      </c>
      <c r="B3">
        <v>281191113.35912281</v>
      </c>
      <c r="C3">
        <v>2932370000</v>
      </c>
      <c r="D3">
        <v>0</v>
      </c>
      <c r="E3">
        <v>6279113.3591227718</v>
      </c>
      <c r="F3">
        <v>23912000</v>
      </c>
    </row>
    <row r="4" spans="1:7" x14ac:dyDescent="0.25">
      <c r="A4" t="s">
        <v>31</v>
      </c>
      <c r="B4">
        <v>293369270.19912279</v>
      </c>
      <c r="C4">
        <v>2914703000</v>
      </c>
      <c r="D4">
        <v>0</v>
      </c>
      <c r="E4">
        <v>20954156.840000071</v>
      </c>
      <c r="F4">
        <v>14219000</v>
      </c>
    </row>
    <row r="5" spans="1:7" x14ac:dyDescent="0.25">
      <c r="A5" t="s">
        <v>32</v>
      </c>
      <c r="B5">
        <v>293224437.35912281</v>
      </c>
      <c r="C5">
        <v>2918881000</v>
      </c>
      <c r="D5">
        <v>0</v>
      </c>
      <c r="E5">
        <v>4496167.1599999517</v>
      </c>
      <c r="F5">
        <v>24791000</v>
      </c>
    </row>
    <row r="6" spans="1:7" x14ac:dyDescent="0.25">
      <c r="A6" t="s">
        <v>33</v>
      </c>
      <c r="B6">
        <v>342252437.35912281</v>
      </c>
      <c r="C6">
        <v>2864082000</v>
      </c>
      <c r="D6">
        <v>0</v>
      </c>
      <c r="E6">
        <v>50001000</v>
      </c>
      <c r="F6">
        <v>8949000</v>
      </c>
    </row>
    <row r="7" spans="1:7" x14ac:dyDescent="0.25">
      <c r="A7" t="s">
        <v>34</v>
      </c>
      <c r="B7">
        <v>290672437.35912281</v>
      </c>
      <c r="C7">
        <v>2927303000</v>
      </c>
      <c r="D7">
        <v>0</v>
      </c>
      <c r="E7">
        <v>-40718000</v>
      </c>
      <c r="F7">
        <v>18089000</v>
      </c>
    </row>
    <row r="8" spans="1:7" x14ac:dyDescent="0.25">
      <c r="A8" t="s">
        <v>35</v>
      </c>
      <c r="B8">
        <v>199943437.35912281</v>
      </c>
      <c r="C8">
        <v>3013583000</v>
      </c>
      <c r="D8">
        <v>0</v>
      </c>
      <c r="E8">
        <v>50596000</v>
      </c>
      <c r="F8">
        <v>31759000</v>
      </c>
    </row>
    <row r="9" spans="1:7" x14ac:dyDescent="0.25">
      <c r="A9" t="s">
        <v>36</v>
      </c>
      <c r="B9">
        <v>202201437.35912281</v>
      </c>
      <c r="C9">
        <v>3012051000</v>
      </c>
      <c r="D9">
        <v>0</v>
      </c>
      <c r="E9">
        <v>4947000</v>
      </c>
      <c r="F9">
        <v>44506000</v>
      </c>
    </row>
    <row r="10" spans="1:7" x14ac:dyDescent="0.25">
      <c r="A10" t="s">
        <v>37</v>
      </c>
      <c r="B10">
        <v>211616807.35912281</v>
      </c>
      <c r="C10">
        <v>3015317000</v>
      </c>
      <c r="D10">
        <v>0</v>
      </c>
      <c r="E10">
        <v>25242369.999999989</v>
      </c>
      <c r="F10">
        <v>22803000</v>
      </c>
    </row>
    <row r="11" spans="1:7" x14ac:dyDescent="0.25">
      <c r="A11" t="s">
        <v>38</v>
      </c>
      <c r="B11">
        <v>255324437.35912281</v>
      </c>
      <c r="C11">
        <v>2956578000</v>
      </c>
      <c r="D11">
        <v>0</v>
      </c>
      <c r="E11">
        <v>48141630</v>
      </c>
      <c r="F11">
        <v>35050000</v>
      </c>
    </row>
    <row r="12" spans="1:7" x14ac:dyDescent="0.25">
      <c r="A12" t="s">
        <v>39</v>
      </c>
      <c r="B12">
        <v>318141437.35912281</v>
      </c>
      <c r="C12">
        <v>2897764000</v>
      </c>
      <c r="D12">
        <v>0</v>
      </c>
      <c r="E12">
        <v>69367000</v>
      </c>
      <c r="F12">
        <v>13194000</v>
      </c>
    </row>
    <row r="13" spans="1:7" x14ac:dyDescent="0.25">
      <c r="A13" t="s">
        <v>40</v>
      </c>
      <c r="B13">
        <v>350113437.35912281</v>
      </c>
      <c r="C13">
        <v>2872156000</v>
      </c>
      <c r="D13">
        <v>0</v>
      </c>
      <c r="E13">
        <v>42912000</v>
      </c>
      <c r="F13">
        <v>49962000</v>
      </c>
    </row>
    <row r="14" spans="1:7" x14ac:dyDescent="0.25">
      <c r="A14" t="s">
        <v>41</v>
      </c>
      <c r="B14">
        <v>220070000</v>
      </c>
      <c r="C14">
        <v>3228914000</v>
      </c>
      <c r="D14">
        <v>0</v>
      </c>
      <c r="E14">
        <v>-128887000</v>
      </c>
      <c r="F14">
        <v>9200000</v>
      </c>
      <c r="G14">
        <v>440000000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79"/>
  <sheetViews>
    <sheetView topLeftCell="A13" workbookViewId="0">
      <selection activeCell="B46" sqref="B46"/>
    </sheetView>
  </sheetViews>
  <sheetFormatPr defaultRowHeight="15" x14ac:dyDescent="0.25"/>
  <cols>
    <col min="2" max="2" width="18.85546875" bestFit="1" customWidth="1"/>
    <col min="3" max="3" width="12" bestFit="1" customWidth="1"/>
    <col min="4" max="4" width="13.85546875" bestFit="1" customWidth="1"/>
    <col min="5" max="5" width="11.140625" bestFit="1" customWidth="1"/>
    <col min="6" max="6" width="11.42578125" bestFit="1" customWidth="1"/>
  </cols>
  <sheetData>
    <row r="1" spans="1:7" x14ac:dyDescent="0.25">
      <c r="A1" s="1" t="s">
        <v>0</v>
      </c>
      <c r="B1" s="1" t="s">
        <v>252</v>
      </c>
      <c r="C1" s="1" t="s">
        <v>50</v>
      </c>
      <c r="D1" s="1" t="s">
        <v>57</v>
      </c>
      <c r="E1" s="1" t="s">
        <v>253</v>
      </c>
      <c r="F1" s="1" t="s">
        <v>254</v>
      </c>
      <c r="G1" s="1" t="s">
        <v>255</v>
      </c>
    </row>
    <row r="2" spans="1:7" x14ac:dyDescent="0.25">
      <c r="A2" t="s">
        <v>29</v>
      </c>
      <c r="B2" t="s">
        <v>256</v>
      </c>
      <c r="C2">
        <v>31193266.660000011</v>
      </c>
      <c r="E2">
        <v>104426</v>
      </c>
      <c r="F2" s="25">
        <v>1027</v>
      </c>
      <c r="G2" s="24">
        <v>3.2500000000000001E-2</v>
      </c>
    </row>
    <row r="3" spans="1:7" x14ac:dyDescent="0.25">
      <c r="A3" t="s">
        <v>29</v>
      </c>
      <c r="B3" t="s">
        <v>257</v>
      </c>
      <c r="C3">
        <v>34532303.340000004</v>
      </c>
      <c r="E3">
        <v>375309</v>
      </c>
      <c r="F3" s="25">
        <v>10852</v>
      </c>
      <c r="G3" s="24">
        <v>9.1000000000000004E-3</v>
      </c>
    </row>
    <row r="4" spans="1:7" x14ac:dyDescent="0.25">
      <c r="A4" t="s">
        <v>29</v>
      </c>
      <c r="B4" t="s">
        <v>258</v>
      </c>
      <c r="C4">
        <v>16493687.289999999</v>
      </c>
      <c r="E4">
        <v>103490</v>
      </c>
      <c r="F4" s="26">
        <v>818</v>
      </c>
      <c r="G4" s="24">
        <v>1.9E-3</v>
      </c>
    </row>
    <row r="5" spans="1:7" x14ac:dyDescent="0.25">
      <c r="A5" t="s">
        <v>29</v>
      </c>
      <c r="B5" t="s">
        <v>259</v>
      </c>
      <c r="E5">
        <v>0</v>
      </c>
    </row>
    <row r="6" spans="1:7" x14ac:dyDescent="0.25">
      <c r="A6" t="s">
        <v>29</v>
      </c>
      <c r="B6" t="s">
        <v>260</v>
      </c>
      <c r="E6">
        <v>0</v>
      </c>
    </row>
    <row r="7" spans="1:7" x14ac:dyDescent="0.25">
      <c r="A7" t="s">
        <v>29</v>
      </c>
      <c r="B7" t="s">
        <v>261</v>
      </c>
      <c r="C7">
        <v>10159919.310000019</v>
      </c>
      <c r="E7">
        <v>0</v>
      </c>
    </row>
    <row r="8" spans="1:7" x14ac:dyDescent="0.25">
      <c r="A8" t="s">
        <v>30</v>
      </c>
      <c r="B8" t="s">
        <v>256</v>
      </c>
      <c r="C8">
        <v>32261590.820000011</v>
      </c>
      <c r="E8">
        <v>105314</v>
      </c>
      <c r="F8" s="2">
        <v>1575</v>
      </c>
      <c r="G8" s="24">
        <v>2.8500000000000001E-2</v>
      </c>
    </row>
    <row r="9" spans="1:7" x14ac:dyDescent="0.25">
      <c r="A9" t="s">
        <v>30</v>
      </c>
      <c r="B9" t="s">
        <v>257</v>
      </c>
      <c r="C9">
        <v>31947105.5</v>
      </c>
      <c r="E9">
        <v>377824</v>
      </c>
      <c r="F9" s="25">
        <v>10269</v>
      </c>
      <c r="G9" s="24">
        <v>9.1000000000000004E-3</v>
      </c>
    </row>
    <row r="10" spans="1:7" x14ac:dyDescent="0.25">
      <c r="A10" t="s">
        <v>30</v>
      </c>
      <c r="B10" t="s">
        <v>258</v>
      </c>
      <c r="C10">
        <v>16471191.17</v>
      </c>
      <c r="E10">
        <v>104166</v>
      </c>
      <c r="G10" s="24">
        <v>2.0999999999999999E-3</v>
      </c>
    </row>
    <row r="11" spans="1:7" x14ac:dyDescent="0.25">
      <c r="A11" t="s">
        <v>30</v>
      </c>
      <c r="B11" t="s">
        <v>259</v>
      </c>
      <c r="E11">
        <v>0</v>
      </c>
    </row>
    <row r="12" spans="1:7" x14ac:dyDescent="0.25">
      <c r="A12" t="s">
        <v>30</v>
      </c>
      <c r="B12" t="s">
        <v>260</v>
      </c>
      <c r="E12">
        <v>0</v>
      </c>
    </row>
    <row r="13" spans="1:7" x14ac:dyDescent="0.25">
      <c r="A13" t="s">
        <v>30</v>
      </c>
      <c r="B13" t="s">
        <v>261</v>
      </c>
      <c r="C13">
        <v>11144314.069999959</v>
      </c>
      <c r="E13">
        <v>0</v>
      </c>
    </row>
    <row r="14" spans="1:7" x14ac:dyDescent="0.25">
      <c r="A14" t="s">
        <v>31</v>
      </c>
      <c r="B14" t="s">
        <v>256</v>
      </c>
      <c r="C14">
        <v>32811735.269999988</v>
      </c>
      <c r="E14">
        <v>105051</v>
      </c>
      <c r="F14" s="25">
        <v>1548</v>
      </c>
      <c r="G14" s="24">
        <v>2.9899999999999999E-2</v>
      </c>
    </row>
    <row r="15" spans="1:7" x14ac:dyDescent="0.25">
      <c r="A15" t="s">
        <v>31</v>
      </c>
      <c r="B15" t="s">
        <v>257</v>
      </c>
      <c r="C15">
        <v>32554696.850000009</v>
      </c>
      <c r="E15">
        <v>383188</v>
      </c>
      <c r="F15" s="25">
        <v>16548</v>
      </c>
      <c r="G15" s="24">
        <v>1.0200000000000001E-2</v>
      </c>
    </row>
    <row r="16" spans="1:7" x14ac:dyDescent="0.25">
      <c r="A16" t="s">
        <v>31</v>
      </c>
      <c r="B16" t="s">
        <v>258</v>
      </c>
      <c r="C16">
        <v>16433170.41</v>
      </c>
      <c r="E16">
        <v>103778</v>
      </c>
      <c r="F16" s="26">
        <v>678</v>
      </c>
      <c r="G16" s="24">
        <v>2.2000000000000001E-3</v>
      </c>
    </row>
    <row r="17" spans="1:7" x14ac:dyDescent="0.25">
      <c r="A17" t="s">
        <v>31</v>
      </c>
      <c r="B17" t="s">
        <v>259</v>
      </c>
      <c r="E17">
        <v>0</v>
      </c>
    </row>
    <row r="18" spans="1:7" x14ac:dyDescent="0.25">
      <c r="A18" t="s">
        <v>31</v>
      </c>
      <c r="B18" t="s">
        <v>260</v>
      </c>
      <c r="E18">
        <v>0</v>
      </c>
    </row>
    <row r="19" spans="1:7" x14ac:dyDescent="0.25">
      <c r="A19" t="s">
        <v>31</v>
      </c>
      <c r="B19" t="s">
        <v>261</v>
      </c>
      <c r="C19">
        <v>11842891.109999999</v>
      </c>
      <c r="E19">
        <v>0</v>
      </c>
    </row>
    <row r="20" spans="1:7" x14ac:dyDescent="0.25">
      <c r="A20" t="s">
        <v>32</v>
      </c>
      <c r="B20" t="s">
        <v>256</v>
      </c>
      <c r="C20">
        <v>31785726.140000001</v>
      </c>
      <c r="E20">
        <v>104606</v>
      </c>
      <c r="F20" s="25">
        <v>1530</v>
      </c>
      <c r="G20" s="24">
        <v>3.27E-2</v>
      </c>
    </row>
    <row r="21" spans="1:7" x14ac:dyDescent="0.25">
      <c r="A21" t="s">
        <v>32</v>
      </c>
      <c r="B21" t="s">
        <v>257</v>
      </c>
      <c r="C21">
        <v>32494177.390000012</v>
      </c>
      <c r="E21">
        <v>376273</v>
      </c>
      <c r="F21" s="25">
        <v>17741</v>
      </c>
      <c r="G21" s="24">
        <v>1.1299999999999999E-2</v>
      </c>
    </row>
    <row r="22" spans="1:7" x14ac:dyDescent="0.25">
      <c r="A22" t="s">
        <v>32</v>
      </c>
      <c r="B22" t="s">
        <v>258</v>
      </c>
      <c r="C22">
        <v>16534371.15</v>
      </c>
      <c r="E22">
        <v>104939</v>
      </c>
      <c r="F22" s="26">
        <v>774</v>
      </c>
      <c r="G22" s="24">
        <v>4.4999999999999997E-3</v>
      </c>
    </row>
    <row r="23" spans="1:7" x14ac:dyDescent="0.25">
      <c r="A23" t="s">
        <v>32</v>
      </c>
      <c r="B23" t="s">
        <v>259</v>
      </c>
      <c r="E23">
        <v>0</v>
      </c>
    </row>
    <row r="24" spans="1:7" x14ac:dyDescent="0.25">
      <c r="A24" t="s">
        <v>32</v>
      </c>
      <c r="B24" t="s">
        <v>260</v>
      </c>
      <c r="E24">
        <v>0</v>
      </c>
    </row>
    <row r="25" spans="1:7" x14ac:dyDescent="0.25">
      <c r="A25" t="s">
        <v>32</v>
      </c>
      <c r="B25" t="s">
        <v>261</v>
      </c>
      <c r="C25">
        <v>13148834.949999999</v>
      </c>
      <c r="E25">
        <v>0</v>
      </c>
    </row>
    <row r="26" spans="1:7" x14ac:dyDescent="0.25">
      <c r="A26" t="s">
        <v>33</v>
      </c>
      <c r="B26" t="s">
        <v>256</v>
      </c>
      <c r="C26">
        <v>31585702.670000009</v>
      </c>
      <c r="E26">
        <v>104695</v>
      </c>
      <c r="F26" s="2">
        <v>1625</v>
      </c>
      <c r="G26" s="24">
        <v>2.8899999999999999E-2</v>
      </c>
    </row>
    <row r="27" spans="1:7" x14ac:dyDescent="0.25">
      <c r="A27" t="s">
        <v>33</v>
      </c>
      <c r="B27" t="s">
        <v>257</v>
      </c>
      <c r="C27">
        <v>32978250.010000009</v>
      </c>
      <c r="E27" s="2">
        <v>376273</v>
      </c>
      <c r="F27" s="25">
        <v>13856</v>
      </c>
      <c r="G27" s="24">
        <v>1.15E-2</v>
      </c>
    </row>
    <row r="28" spans="1:7" x14ac:dyDescent="0.25">
      <c r="A28" t="s">
        <v>33</v>
      </c>
      <c r="B28" t="s">
        <v>258</v>
      </c>
      <c r="C28">
        <v>16542746.73</v>
      </c>
      <c r="E28">
        <v>105189</v>
      </c>
      <c r="F28" s="26">
        <v>620</v>
      </c>
      <c r="G28" s="24">
        <v>4.4000000000000003E-3</v>
      </c>
    </row>
    <row r="29" spans="1:7" x14ac:dyDescent="0.25">
      <c r="A29" t="s">
        <v>33</v>
      </c>
      <c r="B29" t="s">
        <v>259</v>
      </c>
      <c r="E29">
        <v>0</v>
      </c>
    </row>
    <row r="30" spans="1:7" x14ac:dyDescent="0.25">
      <c r="A30" t="s">
        <v>33</v>
      </c>
      <c r="B30" t="s">
        <v>260</v>
      </c>
      <c r="E30">
        <v>0</v>
      </c>
    </row>
    <row r="31" spans="1:7" x14ac:dyDescent="0.25">
      <c r="A31" t="s">
        <v>33</v>
      </c>
      <c r="B31" t="s">
        <v>261</v>
      </c>
      <c r="C31">
        <v>12121275.75999999</v>
      </c>
      <c r="E31">
        <v>0</v>
      </c>
    </row>
    <row r="32" spans="1:7" x14ac:dyDescent="0.25">
      <c r="A32" t="s">
        <v>34</v>
      </c>
      <c r="B32" t="s">
        <v>256</v>
      </c>
      <c r="C32">
        <v>31706829.319999989</v>
      </c>
      <c r="E32">
        <v>104853</v>
      </c>
      <c r="F32" s="25">
        <v>1416</v>
      </c>
      <c r="G32" s="24">
        <v>2.93E-2</v>
      </c>
    </row>
    <row r="33" spans="1:7" x14ac:dyDescent="0.25">
      <c r="A33" t="s">
        <v>34</v>
      </c>
      <c r="B33" t="s">
        <v>257</v>
      </c>
      <c r="C33">
        <v>31780975.360000011</v>
      </c>
      <c r="E33" s="2">
        <v>378041</v>
      </c>
      <c r="F33" s="25">
        <v>13057</v>
      </c>
      <c r="G33" s="24">
        <v>1.06E-2</v>
      </c>
    </row>
    <row r="34" spans="1:7" x14ac:dyDescent="0.25">
      <c r="A34" t="s">
        <v>34</v>
      </c>
      <c r="B34" t="s">
        <v>258</v>
      </c>
      <c r="C34">
        <v>16380367.26</v>
      </c>
      <c r="E34">
        <v>104516</v>
      </c>
      <c r="F34" s="25">
        <v>1092</v>
      </c>
      <c r="G34" s="24">
        <v>2.8E-3</v>
      </c>
    </row>
    <row r="35" spans="1:7" x14ac:dyDescent="0.25">
      <c r="A35" t="s">
        <v>34</v>
      </c>
      <c r="B35" t="s">
        <v>259</v>
      </c>
      <c r="E35">
        <v>0</v>
      </c>
    </row>
    <row r="36" spans="1:7" x14ac:dyDescent="0.25">
      <c r="A36" t="s">
        <v>34</v>
      </c>
      <c r="B36" t="s">
        <v>260</v>
      </c>
      <c r="E36">
        <v>0</v>
      </c>
    </row>
    <row r="37" spans="1:7" x14ac:dyDescent="0.25">
      <c r="A37" t="s">
        <v>34</v>
      </c>
      <c r="B37" t="s">
        <v>261</v>
      </c>
      <c r="C37">
        <v>11461000.250000009</v>
      </c>
      <c r="E37">
        <v>0</v>
      </c>
    </row>
    <row r="38" spans="1:7" x14ac:dyDescent="0.25">
      <c r="A38" t="s">
        <v>35</v>
      </c>
      <c r="B38" t="s">
        <v>256</v>
      </c>
      <c r="C38">
        <v>31541938.829999998</v>
      </c>
      <c r="E38">
        <v>105409</v>
      </c>
      <c r="F38" s="25">
        <v>1474</v>
      </c>
      <c r="G38" s="24">
        <v>2.6100000000000002E-2</v>
      </c>
    </row>
    <row r="39" spans="1:7" x14ac:dyDescent="0.25">
      <c r="A39" t="s">
        <v>35</v>
      </c>
      <c r="B39" t="s">
        <v>257</v>
      </c>
      <c r="C39">
        <v>33286091.140000001</v>
      </c>
      <c r="E39">
        <v>377714</v>
      </c>
      <c r="F39" s="25">
        <v>12022</v>
      </c>
      <c r="G39" s="24">
        <v>9.2999999999999992E-3</v>
      </c>
    </row>
    <row r="40" spans="1:7" x14ac:dyDescent="0.25">
      <c r="A40" t="s">
        <v>35</v>
      </c>
      <c r="B40" t="s">
        <v>258</v>
      </c>
      <c r="C40">
        <v>16286342.84</v>
      </c>
      <c r="E40">
        <v>105018</v>
      </c>
      <c r="F40" s="25">
        <v>1206</v>
      </c>
      <c r="G40" s="24">
        <v>2.8E-3</v>
      </c>
    </row>
    <row r="41" spans="1:7" x14ac:dyDescent="0.25">
      <c r="A41" t="s">
        <v>35</v>
      </c>
      <c r="B41" t="s">
        <v>259</v>
      </c>
      <c r="E41">
        <v>0</v>
      </c>
    </row>
    <row r="42" spans="1:7" x14ac:dyDescent="0.25">
      <c r="A42" t="s">
        <v>35</v>
      </c>
      <c r="B42" t="s">
        <v>260</v>
      </c>
      <c r="E42">
        <v>0</v>
      </c>
    </row>
    <row r="43" spans="1:7" x14ac:dyDescent="0.25">
      <c r="A43" t="s">
        <v>35</v>
      </c>
      <c r="B43" t="s">
        <v>261</v>
      </c>
      <c r="C43">
        <v>10856595.95999999</v>
      </c>
      <c r="E43">
        <v>0</v>
      </c>
    </row>
    <row r="44" spans="1:7" x14ac:dyDescent="0.25">
      <c r="A44" t="s">
        <v>36</v>
      </c>
      <c r="B44" t="s">
        <v>256</v>
      </c>
      <c r="C44">
        <v>31695086.449999999</v>
      </c>
      <c r="E44">
        <v>105592</v>
      </c>
      <c r="F44" s="2">
        <v>1575</v>
      </c>
      <c r="G44" s="24">
        <v>2.2599999999999999E-2</v>
      </c>
    </row>
    <row r="45" spans="1:7" x14ac:dyDescent="0.25">
      <c r="A45" t="s">
        <v>36</v>
      </c>
      <c r="B45" t="s">
        <v>257</v>
      </c>
      <c r="C45">
        <v>31523953.940000001</v>
      </c>
      <c r="E45" s="2">
        <v>374585</v>
      </c>
      <c r="F45" s="25">
        <v>11459</v>
      </c>
      <c r="G45" s="24">
        <v>9.4000000000000004E-3</v>
      </c>
    </row>
    <row r="46" spans="1:7" x14ac:dyDescent="0.25">
      <c r="A46" t="s">
        <v>36</v>
      </c>
      <c r="B46" t="s">
        <v>258</v>
      </c>
      <c r="C46">
        <v>16495358.189999999</v>
      </c>
      <c r="E46">
        <v>104708</v>
      </c>
      <c r="F46" s="25">
        <v>1195</v>
      </c>
      <c r="G46" s="24">
        <v>2.3E-3</v>
      </c>
    </row>
    <row r="47" spans="1:7" x14ac:dyDescent="0.25">
      <c r="A47" t="s">
        <v>36</v>
      </c>
      <c r="B47" t="s">
        <v>259</v>
      </c>
      <c r="E47">
        <v>0</v>
      </c>
    </row>
    <row r="48" spans="1:7" x14ac:dyDescent="0.25">
      <c r="A48" t="s">
        <v>36</v>
      </c>
      <c r="B48" t="s">
        <v>260</v>
      </c>
      <c r="E48">
        <v>0</v>
      </c>
    </row>
    <row r="49" spans="1:7" x14ac:dyDescent="0.25">
      <c r="A49" t="s">
        <v>36</v>
      </c>
      <c r="B49" t="s">
        <v>261</v>
      </c>
      <c r="C49">
        <v>10539179.139999989</v>
      </c>
      <c r="E49">
        <v>0</v>
      </c>
    </row>
    <row r="50" spans="1:7" x14ac:dyDescent="0.25">
      <c r="A50" t="s">
        <v>37</v>
      </c>
      <c r="B50" t="s">
        <v>256</v>
      </c>
      <c r="C50">
        <v>31756830.82</v>
      </c>
      <c r="E50">
        <v>107204</v>
      </c>
      <c r="F50" s="2">
        <v>2226</v>
      </c>
      <c r="G50" s="24">
        <v>2.3800000000000002E-2</v>
      </c>
    </row>
    <row r="51" spans="1:7" x14ac:dyDescent="0.25">
      <c r="A51" t="s">
        <v>37</v>
      </c>
      <c r="B51" t="s">
        <v>257</v>
      </c>
      <c r="C51">
        <v>33648299.869999997</v>
      </c>
      <c r="E51" s="2">
        <v>377578</v>
      </c>
      <c r="F51" s="25">
        <v>13626</v>
      </c>
      <c r="G51" s="24">
        <v>1.0200000000000001E-2</v>
      </c>
    </row>
    <row r="52" spans="1:7" x14ac:dyDescent="0.25">
      <c r="A52" t="s">
        <v>37</v>
      </c>
      <c r="B52" t="s">
        <v>258</v>
      </c>
      <c r="C52">
        <v>16609379.18</v>
      </c>
      <c r="E52">
        <v>105134</v>
      </c>
      <c r="F52" s="25">
        <v>1234</v>
      </c>
      <c r="G52" s="24">
        <v>2.5000000000000001E-3</v>
      </c>
    </row>
    <row r="53" spans="1:7" x14ac:dyDescent="0.25">
      <c r="A53" t="s">
        <v>37</v>
      </c>
      <c r="B53" t="s">
        <v>259</v>
      </c>
      <c r="E53">
        <v>0</v>
      </c>
    </row>
    <row r="54" spans="1:7" x14ac:dyDescent="0.25">
      <c r="A54" t="s">
        <v>37</v>
      </c>
      <c r="B54" t="s">
        <v>260</v>
      </c>
      <c r="E54">
        <v>0</v>
      </c>
    </row>
    <row r="55" spans="1:7" x14ac:dyDescent="0.25">
      <c r="A55" t="s">
        <v>37</v>
      </c>
      <c r="B55" t="s">
        <v>261</v>
      </c>
      <c r="C55">
        <v>11524594.719999971</v>
      </c>
      <c r="E55">
        <v>0</v>
      </c>
    </row>
    <row r="56" spans="1:7" x14ac:dyDescent="0.25">
      <c r="A56" t="s">
        <v>38</v>
      </c>
      <c r="B56" t="s">
        <v>256</v>
      </c>
      <c r="C56">
        <v>31924428.039999992</v>
      </c>
      <c r="E56">
        <v>107374</v>
      </c>
      <c r="F56" s="25">
        <v>1175</v>
      </c>
      <c r="G56" s="24">
        <v>2.2800000000000001E-2</v>
      </c>
    </row>
    <row r="57" spans="1:7" x14ac:dyDescent="0.25">
      <c r="A57" t="s">
        <v>38</v>
      </c>
      <c r="B57" t="s">
        <v>257</v>
      </c>
      <c r="C57">
        <v>31947440.25</v>
      </c>
      <c r="E57" s="2">
        <v>371891</v>
      </c>
      <c r="F57" s="25">
        <v>11926</v>
      </c>
      <c r="G57" s="24">
        <v>8.5000000000000006E-3</v>
      </c>
    </row>
    <row r="58" spans="1:7" x14ac:dyDescent="0.25">
      <c r="A58" t="s">
        <v>38</v>
      </c>
      <c r="B58" t="s">
        <v>258</v>
      </c>
      <c r="C58">
        <v>16450194.76</v>
      </c>
      <c r="E58">
        <v>103936</v>
      </c>
      <c r="F58" s="25">
        <v>1300</v>
      </c>
      <c r="G58" s="24">
        <v>2.5000000000000001E-3</v>
      </c>
    </row>
    <row r="59" spans="1:7" x14ac:dyDescent="0.25">
      <c r="A59" t="s">
        <v>38</v>
      </c>
      <c r="B59" t="s">
        <v>259</v>
      </c>
      <c r="E59">
        <v>0</v>
      </c>
    </row>
    <row r="60" spans="1:7" x14ac:dyDescent="0.25">
      <c r="A60" t="s">
        <v>38</v>
      </c>
      <c r="B60" t="s">
        <v>260</v>
      </c>
      <c r="E60">
        <v>0</v>
      </c>
    </row>
    <row r="61" spans="1:7" x14ac:dyDescent="0.25">
      <c r="A61" t="s">
        <v>38</v>
      </c>
      <c r="B61" t="s">
        <v>261</v>
      </c>
      <c r="C61">
        <v>10554548.78000002</v>
      </c>
      <c r="E61">
        <v>0</v>
      </c>
    </row>
    <row r="62" spans="1:7" x14ac:dyDescent="0.25">
      <c r="A62" t="s">
        <v>39</v>
      </c>
      <c r="B62" t="s">
        <v>256</v>
      </c>
      <c r="C62">
        <v>32012386.530000009</v>
      </c>
      <c r="E62">
        <v>106525</v>
      </c>
      <c r="F62" s="25">
        <v>1099</v>
      </c>
      <c r="G62" s="24">
        <v>2.5899999999999999E-2</v>
      </c>
    </row>
    <row r="63" spans="1:7" x14ac:dyDescent="0.25">
      <c r="A63" t="s">
        <v>39</v>
      </c>
      <c r="B63" t="s">
        <v>257</v>
      </c>
      <c r="C63">
        <v>30407306.100000001</v>
      </c>
      <c r="E63" s="2">
        <v>374116</v>
      </c>
      <c r="F63" s="25">
        <v>10105</v>
      </c>
      <c r="G63" s="24">
        <v>9.4000000000000004E-3</v>
      </c>
    </row>
    <row r="64" spans="1:7" x14ac:dyDescent="0.25">
      <c r="A64" t="s">
        <v>39</v>
      </c>
      <c r="B64" t="s">
        <v>258</v>
      </c>
      <c r="C64">
        <v>15773882.060000001</v>
      </c>
      <c r="E64">
        <v>102974</v>
      </c>
      <c r="F64" s="25">
        <v>1101</v>
      </c>
      <c r="G64" s="24">
        <v>2.0999999999999999E-3</v>
      </c>
    </row>
    <row r="65" spans="1:26" x14ac:dyDescent="0.25">
      <c r="A65" t="s">
        <v>39</v>
      </c>
      <c r="B65" t="s">
        <v>259</v>
      </c>
      <c r="E65">
        <v>0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5">
      <c r="A66" t="s">
        <v>39</v>
      </c>
      <c r="B66" t="s">
        <v>260</v>
      </c>
      <c r="E66">
        <v>0</v>
      </c>
    </row>
    <row r="67" spans="1:26" x14ac:dyDescent="0.25">
      <c r="A67" t="s">
        <v>39</v>
      </c>
      <c r="B67" t="s">
        <v>261</v>
      </c>
      <c r="C67">
        <v>9831177.9199999869</v>
      </c>
      <c r="E67">
        <v>0</v>
      </c>
    </row>
    <row r="68" spans="1:26" x14ac:dyDescent="0.25">
      <c r="A68" t="s">
        <v>40</v>
      </c>
      <c r="B68" t="s">
        <v>256</v>
      </c>
      <c r="C68">
        <v>31420732.48</v>
      </c>
      <c r="E68">
        <v>106046</v>
      </c>
      <c r="F68" s="2">
        <v>1033</v>
      </c>
      <c r="G68" s="24">
        <v>2.5899999999999999E-2</v>
      </c>
    </row>
    <row r="69" spans="1:26" x14ac:dyDescent="0.25">
      <c r="A69" t="s">
        <v>40</v>
      </c>
      <c r="B69" t="s">
        <v>257</v>
      </c>
      <c r="C69">
        <v>32036128.32</v>
      </c>
      <c r="E69" s="2">
        <v>371002</v>
      </c>
      <c r="F69" s="25">
        <v>10136</v>
      </c>
      <c r="G69" s="24">
        <v>9.2999999999999992E-3</v>
      </c>
    </row>
    <row r="70" spans="1:26" x14ac:dyDescent="0.25">
      <c r="A70" t="s">
        <v>40</v>
      </c>
      <c r="B70" t="s">
        <v>258</v>
      </c>
      <c r="C70">
        <v>16247699.699999999</v>
      </c>
      <c r="E70">
        <v>102423</v>
      </c>
      <c r="F70" s="26">
        <v>695</v>
      </c>
      <c r="G70" s="24">
        <v>0.20519999999999999</v>
      </c>
    </row>
    <row r="71" spans="1:26" x14ac:dyDescent="0.25">
      <c r="A71" t="s">
        <v>40</v>
      </c>
      <c r="B71" t="s">
        <v>259</v>
      </c>
      <c r="E71">
        <v>0</v>
      </c>
    </row>
    <row r="72" spans="1:26" x14ac:dyDescent="0.25">
      <c r="A72" t="s">
        <v>40</v>
      </c>
      <c r="B72" t="s">
        <v>260</v>
      </c>
      <c r="E72">
        <v>0</v>
      </c>
    </row>
    <row r="73" spans="1:26" x14ac:dyDescent="0.25">
      <c r="A73" t="s">
        <v>40</v>
      </c>
      <c r="B73" t="s">
        <v>261</v>
      </c>
      <c r="C73">
        <v>35568610.430000007</v>
      </c>
      <c r="E73">
        <v>0</v>
      </c>
    </row>
    <row r="74" spans="1:26" x14ac:dyDescent="0.25">
      <c r="A74" t="s">
        <v>41</v>
      </c>
      <c r="B74" t="s">
        <v>256</v>
      </c>
      <c r="C74">
        <v>31595946.79999999</v>
      </c>
      <c r="D74">
        <v>31354854</v>
      </c>
      <c r="E74">
        <v>107275</v>
      </c>
      <c r="F74" s="25">
        <v>1424</v>
      </c>
      <c r="G74" s="24">
        <v>2.6100000000000002E-2</v>
      </c>
    </row>
    <row r="75" spans="1:26" x14ac:dyDescent="0.25">
      <c r="A75" t="s">
        <v>41</v>
      </c>
      <c r="B75" t="s">
        <v>257</v>
      </c>
      <c r="C75">
        <v>31323456.690000001</v>
      </c>
      <c r="D75">
        <v>30891894.32084401</v>
      </c>
      <c r="E75" s="2">
        <v>367746</v>
      </c>
      <c r="F75" s="25">
        <v>10519</v>
      </c>
      <c r="G75" s="24">
        <v>9.5999999999999992E-3</v>
      </c>
    </row>
    <row r="76" spans="1:26" x14ac:dyDescent="0.25">
      <c r="A76" t="s">
        <v>41</v>
      </c>
      <c r="B76" t="s">
        <v>258</v>
      </c>
      <c r="C76">
        <v>14608824.76</v>
      </c>
      <c r="D76">
        <v>12408697.21022757</v>
      </c>
      <c r="E76" s="2">
        <v>102423</v>
      </c>
      <c r="F76" s="26">
        <v>587</v>
      </c>
      <c r="G76" s="24">
        <v>2.0999999999999999E-3</v>
      </c>
    </row>
    <row r="77" spans="1:26" x14ac:dyDescent="0.25">
      <c r="A77" t="s">
        <v>41</v>
      </c>
      <c r="B77" t="s">
        <v>259</v>
      </c>
      <c r="E77">
        <v>0</v>
      </c>
    </row>
    <row r="78" spans="1:26" x14ac:dyDescent="0.25">
      <c r="A78" t="s">
        <v>41</v>
      </c>
      <c r="B78" t="s">
        <v>260</v>
      </c>
      <c r="E78">
        <v>0</v>
      </c>
    </row>
    <row r="79" spans="1:26" x14ac:dyDescent="0.25">
      <c r="A79" t="s">
        <v>41</v>
      </c>
      <c r="B79" t="s">
        <v>261</v>
      </c>
      <c r="C79">
        <v>11275161.650000021</v>
      </c>
      <c r="D79">
        <v>5619086.9773285501</v>
      </c>
      <c r="E79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05"/>
  <sheetViews>
    <sheetView tabSelected="1" workbookViewId="0">
      <pane xSplit="1" ySplit="1" topLeftCell="B71" activePane="bottomRight" state="frozen"/>
      <selection pane="topRight" activeCell="B1" sqref="B1"/>
      <selection pane="bottomLeft" activeCell="A2" sqref="A2"/>
      <selection pane="bottomRight" activeCell="V85" sqref="V85"/>
    </sheetView>
  </sheetViews>
  <sheetFormatPr defaultRowHeight="15" x14ac:dyDescent="0.25"/>
  <cols>
    <col min="4" max="10" width="12.140625" customWidth="1"/>
    <col min="12" max="12" width="9.85546875" bestFit="1" customWidth="1"/>
    <col min="14" max="14" width="12.140625" bestFit="1" customWidth="1"/>
    <col min="16" max="16" width="11.7109375" bestFit="1" customWidth="1"/>
    <col min="18" max="18" width="9.5703125" bestFit="1" customWidth="1"/>
    <col min="19" max="19" width="12.42578125" bestFit="1" customWidth="1"/>
  </cols>
  <sheetData>
    <row r="1" spans="1:20" x14ac:dyDescent="0.25">
      <c r="A1" s="1" t="s">
        <v>0</v>
      </c>
      <c r="B1" s="1" t="s">
        <v>252</v>
      </c>
      <c r="C1" s="1" t="s">
        <v>50</v>
      </c>
      <c r="D1" s="1" t="s">
        <v>57</v>
      </c>
      <c r="E1" s="1" t="s">
        <v>262</v>
      </c>
      <c r="F1" s="1" t="s">
        <v>263</v>
      </c>
      <c r="G1" s="1" t="s">
        <v>264</v>
      </c>
      <c r="H1" s="1" t="s">
        <v>265</v>
      </c>
      <c r="I1" s="1" t="s">
        <v>266</v>
      </c>
      <c r="J1" t="s">
        <v>267</v>
      </c>
      <c r="K1" t="s">
        <v>268</v>
      </c>
      <c r="L1" t="s">
        <v>269</v>
      </c>
      <c r="M1" t="s">
        <v>270</v>
      </c>
      <c r="N1" t="s">
        <v>271</v>
      </c>
      <c r="O1" t="s">
        <v>272</v>
      </c>
      <c r="P1" t="s">
        <v>273</v>
      </c>
      <c r="Q1" t="s">
        <v>274</v>
      </c>
      <c r="R1" t="s">
        <v>275</v>
      </c>
      <c r="S1" t="s">
        <v>276</v>
      </c>
      <c r="T1" t="s">
        <v>277</v>
      </c>
    </row>
    <row r="2" spans="1:20" x14ac:dyDescent="0.25">
      <c r="A2" t="s">
        <v>29</v>
      </c>
      <c r="B2" t="s">
        <v>278</v>
      </c>
      <c r="C2">
        <v>12623062.6</v>
      </c>
      <c r="E2">
        <v>0</v>
      </c>
      <c r="F2">
        <v>0</v>
      </c>
      <c r="G2">
        <v>0</v>
      </c>
      <c r="H2">
        <v>0</v>
      </c>
      <c r="I2">
        <v>0</v>
      </c>
    </row>
    <row r="3" spans="1:20" x14ac:dyDescent="0.25">
      <c r="A3" t="s">
        <v>29</v>
      </c>
      <c r="B3" t="s">
        <v>279</v>
      </c>
      <c r="C3">
        <v>2588219.58</v>
      </c>
      <c r="E3">
        <v>0</v>
      </c>
      <c r="F3">
        <v>0</v>
      </c>
      <c r="G3">
        <v>0</v>
      </c>
      <c r="H3">
        <v>0</v>
      </c>
      <c r="I3">
        <v>0</v>
      </c>
    </row>
    <row r="4" spans="1:20" x14ac:dyDescent="0.25">
      <c r="A4" t="s">
        <v>29</v>
      </c>
      <c r="B4" t="s">
        <v>280</v>
      </c>
      <c r="C4">
        <v>4344979.8499999996</v>
      </c>
      <c r="E4">
        <v>0</v>
      </c>
      <c r="F4">
        <v>0</v>
      </c>
      <c r="G4">
        <v>0</v>
      </c>
      <c r="H4">
        <v>0</v>
      </c>
      <c r="I4">
        <v>0</v>
      </c>
    </row>
    <row r="5" spans="1:20" x14ac:dyDescent="0.25">
      <c r="A5" t="s">
        <v>29</v>
      </c>
      <c r="B5" t="s">
        <v>281</v>
      </c>
      <c r="C5">
        <v>21111329.68</v>
      </c>
      <c r="E5">
        <v>0</v>
      </c>
      <c r="F5">
        <v>0</v>
      </c>
      <c r="G5">
        <v>0</v>
      </c>
      <c r="H5">
        <v>0</v>
      </c>
      <c r="I5">
        <v>0</v>
      </c>
      <c r="M5">
        <v>10103629.560000001</v>
      </c>
      <c r="S5">
        <v>52889</v>
      </c>
    </row>
    <row r="6" spans="1:20" x14ac:dyDescent="0.25">
      <c r="A6" t="s">
        <v>29</v>
      </c>
      <c r="B6" t="s">
        <v>282</v>
      </c>
      <c r="C6">
        <v>3736200.02</v>
      </c>
      <c r="E6">
        <v>0</v>
      </c>
      <c r="F6">
        <v>0</v>
      </c>
      <c r="G6">
        <v>0</v>
      </c>
      <c r="H6">
        <v>0</v>
      </c>
      <c r="I6">
        <v>0</v>
      </c>
    </row>
    <row r="7" spans="1:20" x14ac:dyDescent="0.25">
      <c r="A7" t="s">
        <v>29</v>
      </c>
      <c r="B7" t="s">
        <v>258</v>
      </c>
      <c r="C7">
        <v>489552.09</v>
      </c>
      <c r="E7">
        <v>0</v>
      </c>
      <c r="F7">
        <v>0</v>
      </c>
      <c r="G7">
        <v>0</v>
      </c>
      <c r="H7">
        <v>0</v>
      </c>
      <c r="I7">
        <v>0</v>
      </c>
    </row>
    <row r="8" spans="1:20" x14ac:dyDescent="0.25">
      <c r="A8" t="s">
        <v>29</v>
      </c>
      <c r="B8" t="s">
        <v>261</v>
      </c>
      <c r="C8">
        <v>-2388946.5499999998</v>
      </c>
      <c r="E8">
        <v>0</v>
      </c>
      <c r="F8">
        <v>0</v>
      </c>
      <c r="G8">
        <v>0</v>
      </c>
      <c r="H8">
        <v>0</v>
      </c>
      <c r="I8">
        <v>0</v>
      </c>
    </row>
    <row r="9" spans="1:20" x14ac:dyDescent="0.25">
      <c r="A9" t="s">
        <v>29</v>
      </c>
      <c r="B9" t="s">
        <v>283</v>
      </c>
      <c r="E9">
        <v>0</v>
      </c>
      <c r="F9">
        <v>0</v>
      </c>
      <c r="G9">
        <v>0</v>
      </c>
      <c r="H9">
        <v>0</v>
      </c>
      <c r="I9">
        <v>0</v>
      </c>
    </row>
    <row r="10" spans="1:20" x14ac:dyDescent="0.25">
      <c r="A10" t="s">
        <v>30</v>
      </c>
      <c r="B10" t="s">
        <v>278</v>
      </c>
      <c r="C10">
        <v>13278641.039999999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20" x14ac:dyDescent="0.25">
      <c r="A11" t="s">
        <v>30</v>
      </c>
      <c r="B11" t="s">
        <v>279</v>
      </c>
      <c r="C11">
        <v>2763986.64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20" x14ac:dyDescent="0.25">
      <c r="A12" t="s">
        <v>30</v>
      </c>
      <c r="B12" t="s">
        <v>280</v>
      </c>
      <c r="C12">
        <v>3902053.16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20" x14ac:dyDescent="0.25">
      <c r="A13" t="s">
        <v>30</v>
      </c>
      <c r="B13" t="s">
        <v>281</v>
      </c>
      <c r="C13">
        <v>23020111.600000001</v>
      </c>
      <c r="E13">
        <v>0</v>
      </c>
      <c r="F13">
        <v>0</v>
      </c>
      <c r="G13">
        <v>0</v>
      </c>
      <c r="H13">
        <v>0</v>
      </c>
      <c r="I13">
        <v>0</v>
      </c>
      <c r="M13">
        <v>10932463.099999998</v>
      </c>
    </row>
    <row r="14" spans="1:20" x14ac:dyDescent="0.25">
      <c r="A14" t="s">
        <v>30</v>
      </c>
      <c r="B14" t="s">
        <v>282</v>
      </c>
      <c r="C14">
        <v>3860684.96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20" x14ac:dyDescent="0.25">
      <c r="A15" t="s">
        <v>30</v>
      </c>
      <c r="B15" t="s">
        <v>258</v>
      </c>
      <c r="C15">
        <v>496473.19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20" x14ac:dyDescent="0.25">
      <c r="A16" t="s">
        <v>30</v>
      </c>
      <c r="B16" t="s">
        <v>261</v>
      </c>
      <c r="C16">
        <v>70522.289999999542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13" x14ac:dyDescent="0.25">
      <c r="A17" t="s">
        <v>30</v>
      </c>
      <c r="B17" t="s">
        <v>283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13" x14ac:dyDescent="0.25">
      <c r="A18" t="s">
        <v>31</v>
      </c>
      <c r="B18" t="s">
        <v>278</v>
      </c>
      <c r="C18">
        <v>12914340.369999999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13" x14ac:dyDescent="0.25">
      <c r="A19" t="s">
        <v>31</v>
      </c>
      <c r="B19" t="s">
        <v>279</v>
      </c>
      <c r="C19">
        <v>2739404.1100000008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13" x14ac:dyDescent="0.25">
      <c r="A20" t="s">
        <v>31</v>
      </c>
      <c r="B20" t="s">
        <v>280</v>
      </c>
      <c r="C20">
        <v>3879872.13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3" x14ac:dyDescent="0.25">
      <c r="A21" t="s">
        <v>31</v>
      </c>
      <c r="B21" t="s">
        <v>281</v>
      </c>
      <c r="C21">
        <v>24194644.120000001</v>
      </c>
      <c r="E21">
        <v>0</v>
      </c>
      <c r="F21">
        <v>0</v>
      </c>
      <c r="G21">
        <v>0</v>
      </c>
      <c r="H21">
        <v>0</v>
      </c>
      <c r="I21">
        <v>0</v>
      </c>
      <c r="M21">
        <v>10497136.510000002</v>
      </c>
    </row>
    <row r="22" spans="1:13" x14ac:dyDescent="0.25">
      <c r="A22" t="s">
        <v>31</v>
      </c>
      <c r="B22" t="s">
        <v>282</v>
      </c>
      <c r="C22">
        <v>3725848.62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13" x14ac:dyDescent="0.25">
      <c r="A23" t="s">
        <v>31</v>
      </c>
      <c r="B23" t="s">
        <v>258</v>
      </c>
      <c r="C23">
        <v>478223.72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13" x14ac:dyDescent="0.25">
      <c r="A24" t="s">
        <v>31</v>
      </c>
      <c r="B24" t="s">
        <v>261</v>
      </c>
      <c r="C24">
        <v>-2171392.1800000048</v>
      </c>
      <c r="E24">
        <v>0</v>
      </c>
      <c r="F24">
        <v>0</v>
      </c>
      <c r="G24">
        <v>0</v>
      </c>
      <c r="H24">
        <v>0</v>
      </c>
      <c r="I24">
        <v>0</v>
      </c>
    </row>
    <row r="25" spans="1:13" x14ac:dyDescent="0.25">
      <c r="A25" t="s">
        <v>31</v>
      </c>
      <c r="B25" t="s">
        <v>283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13" x14ac:dyDescent="0.25">
      <c r="A26" t="s">
        <v>32</v>
      </c>
      <c r="B26" t="s">
        <v>278</v>
      </c>
      <c r="C26">
        <v>13265097.9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13" x14ac:dyDescent="0.25">
      <c r="A27" t="s">
        <v>32</v>
      </c>
      <c r="B27" t="s">
        <v>279</v>
      </c>
      <c r="C27">
        <v>2743690.7000000011</v>
      </c>
      <c r="E27">
        <v>0</v>
      </c>
      <c r="F27">
        <v>0</v>
      </c>
      <c r="G27">
        <v>0</v>
      </c>
      <c r="H27">
        <v>0</v>
      </c>
      <c r="I27">
        <v>0</v>
      </c>
    </row>
    <row r="28" spans="1:13" x14ac:dyDescent="0.25">
      <c r="A28" t="s">
        <v>32</v>
      </c>
      <c r="B28" t="s">
        <v>280</v>
      </c>
      <c r="C28">
        <v>3495626.21</v>
      </c>
      <c r="E28">
        <v>0</v>
      </c>
      <c r="F28">
        <v>0</v>
      </c>
      <c r="G28">
        <v>0</v>
      </c>
      <c r="H28">
        <v>0</v>
      </c>
      <c r="I28">
        <v>0</v>
      </c>
    </row>
    <row r="29" spans="1:13" x14ac:dyDescent="0.25">
      <c r="A29" t="s">
        <v>32</v>
      </c>
      <c r="B29" t="s">
        <v>281</v>
      </c>
      <c r="C29">
        <v>22292104.039999999</v>
      </c>
      <c r="E29">
        <v>0</v>
      </c>
      <c r="F29">
        <v>0</v>
      </c>
      <c r="G29">
        <v>0</v>
      </c>
      <c r="H29">
        <v>0</v>
      </c>
      <c r="I29">
        <v>0</v>
      </c>
      <c r="M29">
        <v>10660107.550000001</v>
      </c>
    </row>
    <row r="30" spans="1:13" x14ac:dyDescent="0.25">
      <c r="A30" t="s">
        <v>32</v>
      </c>
      <c r="B30" t="s">
        <v>282</v>
      </c>
      <c r="C30">
        <v>3865294.77</v>
      </c>
      <c r="E30">
        <v>0</v>
      </c>
      <c r="F30">
        <v>0</v>
      </c>
      <c r="G30">
        <v>0</v>
      </c>
      <c r="H30">
        <v>0</v>
      </c>
      <c r="I30">
        <v>0</v>
      </c>
    </row>
    <row r="31" spans="1:13" x14ac:dyDescent="0.25">
      <c r="A31" t="s">
        <v>32</v>
      </c>
      <c r="B31" t="s">
        <v>258</v>
      </c>
      <c r="C31">
        <v>492742.61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13" x14ac:dyDescent="0.25">
      <c r="A32" t="s">
        <v>32</v>
      </c>
      <c r="B32" t="s">
        <v>261</v>
      </c>
      <c r="C32">
        <v>-25886.270000000881</v>
      </c>
      <c r="E32">
        <v>0</v>
      </c>
      <c r="F32">
        <v>0</v>
      </c>
      <c r="G32">
        <v>0</v>
      </c>
      <c r="H32">
        <v>0</v>
      </c>
      <c r="I32">
        <v>0</v>
      </c>
    </row>
    <row r="33" spans="1:13" x14ac:dyDescent="0.25">
      <c r="A33" t="s">
        <v>32</v>
      </c>
      <c r="B33" t="s">
        <v>283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1:13" x14ac:dyDescent="0.25">
      <c r="A34" t="s">
        <v>33</v>
      </c>
      <c r="B34" t="s">
        <v>278</v>
      </c>
      <c r="C34">
        <v>13365167.1</v>
      </c>
      <c r="E34">
        <v>0</v>
      </c>
      <c r="F34">
        <v>0</v>
      </c>
      <c r="G34">
        <v>0</v>
      </c>
      <c r="H34">
        <v>0</v>
      </c>
      <c r="I34">
        <v>0</v>
      </c>
    </row>
    <row r="35" spans="1:13" x14ac:dyDescent="0.25">
      <c r="A35" t="s">
        <v>33</v>
      </c>
      <c r="B35" t="s">
        <v>279</v>
      </c>
      <c r="C35">
        <v>2727053.620000001</v>
      </c>
      <c r="E35">
        <v>0</v>
      </c>
      <c r="F35">
        <v>0</v>
      </c>
      <c r="G35">
        <v>0</v>
      </c>
      <c r="H35">
        <v>0</v>
      </c>
      <c r="I35">
        <v>0</v>
      </c>
    </row>
    <row r="36" spans="1:13" x14ac:dyDescent="0.25">
      <c r="A36" t="s">
        <v>33</v>
      </c>
      <c r="B36" t="s">
        <v>280</v>
      </c>
      <c r="C36">
        <v>3524553.02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13" x14ac:dyDescent="0.25">
      <c r="A37" t="s">
        <v>33</v>
      </c>
      <c r="B37" t="s">
        <v>281</v>
      </c>
      <c r="C37">
        <v>23951841.039999999</v>
      </c>
      <c r="E37">
        <v>0</v>
      </c>
      <c r="F37">
        <v>0</v>
      </c>
      <c r="G37">
        <v>0</v>
      </c>
      <c r="H37">
        <v>0</v>
      </c>
      <c r="I37">
        <v>0</v>
      </c>
      <c r="M37">
        <v>10064195.309999997</v>
      </c>
    </row>
    <row r="38" spans="1:13" x14ac:dyDescent="0.25">
      <c r="A38" t="s">
        <v>33</v>
      </c>
      <c r="B38" t="s">
        <v>282</v>
      </c>
      <c r="C38">
        <v>3618244.21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13" x14ac:dyDescent="0.25">
      <c r="A39" t="s">
        <v>33</v>
      </c>
      <c r="B39" t="s">
        <v>258</v>
      </c>
      <c r="C39">
        <v>469204.12999999989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13" x14ac:dyDescent="0.25">
      <c r="A40" t="s">
        <v>33</v>
      </c>
      <c r="B40" t="s">
        <v>261</v>
      </c>
      <c r="C40">
        <v>436868.220000008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1:13" x14ac:dyDescent="0.25">
      <c r="A41" t="s">
        <v>33</v>
      </c>
      <c r="B41" t="s">
        <v>283</v>
      </c>
      <c r="E41">
        <v>0</v>
      </c>
      <c r="F41">
        <v>0</v>
      </c>
      <c r="G41">
        <v>0</v>
      </c>
      <c r="H41">
        <v>0</v>
      </c>
      <c r="I41">
        <v>0</v>
      </c>
    </row>
    <row r="42" spans="1:13" x14ac:dyDescent="0.25">
      <c r="A42" t="s">
        <v>34</v>
      </c>
      <c r="B42" t="s">
        <v>278</v>
      </c>
      <c r="C42">
        <v>13015129.58</v>
      </c>
      <c r="E42">
        <v>0</v>
      </c>
      <c r="F42">
        <v>0</v>
      </c>
      <c r="G42">
        <v>0</v>
      </c>
      <c r="H42">
        <v>0</v>
      </c>
      <c r="I42">
        <v>0</v>
      </c>
    </row>
    <row r="43" spans="1:13" x14ac:dyDescent="0.25">
      <c r="A43" t="s">
        <v>34</v>
      </c>
      <c r="B43" t="s">
        <v>279</v>
      </c>
      <c r="C43">
        <v>2704582.71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13" x14ac:dyDescent="0.25">
      <c r="A44" t="s">
        <v>34</v>
      </c>
      <c r="B44" t="s">
        <v>280</v>
      </c>
      <c r="C44">
        <v>3389763.5100000012</v>
      </c>
      <c r="E44">
        <v>0</v>
      </c>
      <c r="F44">
        <v>0</v>
      </c>
      <c r="G44">
        <v>0</v>
      </c>
      <c r="H44">
        <v>0</v>
      </c>
      <c r="I44">
        <v>0</v>
      </c>
    </row>
    <row r="45" spans="1:13" x14ac:dyDescent="0.25">
      <c r="A45" t="s">
        <v>34</v>
      </c>
      <c r="B45" t="s">
        <v>281</v>
      </c>
      <c r="C45">
        <v>24837872.530000001</v>
      </c>
      <c r="E45">
        <v>0</v>
      </c>
      <c r="F45">
        <v>0</v>
      </c>
      <c r="G45">
        <v>0</v>
      </c>
      <c r="H45">
        <v>0</v>
      </c>
      <c r="I45">
        <v>0</v>
      </c>
      <c r="M45">
        <v>11577511.870000003</v>
      </c>
    </row>
    <row r="46" spans="1:13" x14ac:dyDescent="0.25">
      <c r="A46" t="s">
        <v>34</v>
      </c>
      <c r="B46" t="s">
        <v>282</v>
      </c>
      <c r="C46">
        <v>3744977.33</v>
      </c>
      <c r="E46">
        <v>0</v>
      </c>
      <c r="F46">
        <v>0</v>
      </c>
      <c r="G46">
        <v>0</v>
      </c>
      <c r="H46">
        <v>0</v>
      </c>
      <c r="I46">
        <v>0</v>
      </c>
    </row>
    <row r="47" spans="1:13" x14ac:dyDescent="0.25">
      <c r="A47" t="s">
        <v>34</v>
      </c>
      <c r="B47" t="s">
        <v>258</v>
      </c>
      <c r="C47">
        <v>470858.03</v>
      </c>
      <c r="E47">
        <v>0</v>
      </c>
      <c r="F47">
        <v>0</v>
      </c>
      <c r="G47">
        <v>0</v>
      </c>
      <c r="H47">
        <v>0</v>
      </c>
      <c r="I47">
        <v>0</v>
      </c>
    </row>
    <row r="48" spans="1:13" x14ac:dyDescent="0.25">
      <c r="A48" t="s">
        <v>34</v>
      </c>
      <c r="B48" t="s">
        <v>261</v>
      </c>
      <c r="C48">
        <v>717630.65999999037</v>
      </c>
      <c r="E48">
        <v>0</v>
      </c>
      <c r="F48">
        <v>0</v>
      </c>
      <c r="G48">
        <v>0</v>
      </c>
      <c r="H48">
        <v>0</v>
      </c>
      <c r="I48">
        <v>0</v>
      </c>
    </row>
    <row r="49" spans="1:13" x14ac:dyDescent="0.25">
      <c r="A49" t="s">
        <v>34</v>
      </c>
      <c r="B49" t="s">
        <v>283</v>
      </c>
      <c r="E49">
        <v>0</v>
      </c>
      <c r="F49">
        <v>0</v>
      </c>
      <c r="G49">
        <v>0</v>
      </c>
      <c r="H49">
        <v>0</v>
      </c>
      <c r="I49">
        <v>0</v>
      </c>
    </row>
    <row r="50" spans="1:13" x14ac:dyDescent="0.25">
      <c r="A50" t="s">
        <v>35</v>
      </c>
      <c r="B50" t="s">
        <v>278</v>
      </c>
      <c r="C50">
        <v>12857507.039999999</v>
      </c>
      <c r="E50">
        <v>0</v>
      </c>
      <c r="F50">
        <v>0</v>
      </c>
      <c r="G50">
        <v>0</v>
      </c>
      <c r="H50">
        <v>0</v>
      </c>
      <c r="I50">
        <v>0</v>
      </c>
    </row>
    <row r="51" spans="1:13" x14ac:dyDescent="0.25">
      <c r="A51" t="s">
        <v>35</v>
      </c>
      <c r="B51" t="s">
        <v>279</v>
      </c>
      <c r="C51">
        <v>2737258.27</v>
      </c>
      <c r="E51">
        <v>0</v>
      </c>
      <c r="F51">
        <v>0</v>
      </c>
      <c r="G51">
        <v>0</v>
      </c>
      <c r="H51">
        <v>0</v>
      </c>
      <c r="I51">
        <v>0</v>
      </c>
    </row>
    <row r="52" spans="1:13" x14ac:dyDescent="0.25">
      <c r="A52" t="s">
        <v>35</v>
      </c>
      <c r="B52" t="s">
        <v>280</v>
      </c>
      <c r="C52">
        <v>3344374.77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1:13" x14ac:dyDescent="0.25">
      <c r="A53" t="s">
        <v>35</v>
      </c>
      <c r="B53" t="s">
        <v>281</v>
      </c>
      <c r="C53">
        <v>24657798.080000009</v>
      </c>
      <c r="E53">
        <v>0</v>
      </c>
      <c r="F53">
        <v>0</v>
      </c>
      <c r="G53">
        <v>0</v>
      </c>
      <c r="H53">
        <v>0</v>
      </c>
      <c r="I53">
        <v>0</v>
      </c>
      <c r="M53">
        <v>10402435.150000002</v>
      </c>
    </row>
    <row r="54" spans="1:13" x14ac:dyDescent="0.25">
      <c r="A54" t="s">
        <v>35</v>
      </c>
      <c r="B54" t="s">
        <v>282</v>
      </c>
      <c r="C54">
        <v>3752634.69</v>
      </c>
      <c r="E54">
        <v>0</v>
      </c>
      <c r="F54">
        <v>0</v>
      </c>
      <c r="G54">
        <v>0</v>
      </c>
      <c r="H54">
        <v>0</v>
      </c>
      <c r="I54">
        <v>0</v>
      </c>
    </row>
    <row r="55" spans="1:13" x14ac:dyDescent="0.25">
      <c r="A55" t="s">
        <v>35</v>
      </c>
      <c r="B55" t="s">
        <v>258</v>
      </c>
      <c r="C55">
        <v>470973.66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13" x14ac:dyDescent="0.25">
      <c r="A56" t="s">
        <v>35</v>
      </c>
      <c r="B56" t="s">
        <v>261</v>
      </c>
      <c r="C56">
        <v>-1799860.5000000079</v>
      </c>
      <c r="E56">
        <v>0</v>
      </c>
      <c r="F56">
        <v>0</v>
      </c>
      <c r="G56">
        <v>0</v>
      </c>
      <c r="H56">
        <v>0</v>
      </c>
      <c r="I56">
        <v>0</v>
      </c>
    </row>
    <row r="57" spans="1:13" x14ac:dyDescent="0.25">
      <c r="A57" t="s">
        <v>35</v>
      </c>
      <c r="B57" t="s">
        <v>283</v>
      </c>
      <c r="E57">
        <v>0</v>
      </c>
      <c r="F57">
        <v>0</v>
      </c>
      <c r="G57">
        <v>0</v>
      </c>
      <c r="H57">
        <v>0</v>
      </c>
      <c r="I57">
        <v>0</v>
      </c>
    </row>
    <row r="58" spans="1:13" x14ac:dyDescent="0.25">
      <c r="A58" t="s">
        <v>36</v>
      </c>
      <c r="B58" t="s">
        <v>278</v>
      </c>
      <c r="C58">
        <v>13235260.51</v>
      </c>
      <c r="E58">
        <v>0</v>
      </c>
      <c r="F58">
        <v>0</v>
      </c>
      <c r="G58">
        <v>0</v>
      </c>
      <c r="H58">
        <v>0</v>
      </c>
      <c r="I58">
        <v>0</v>
      </c>
    </row>
    <row r="59" spans="1:13" x14ac:dyDescent="0.25">
      <c r="A59" t="s">
        <v>36</v>
      </c>
      <c r="B59" t="s">
        <v>279</v>
      </c>
      <c r="C59">
        <v>2794737.33</v>
      </c>
      <c r="E59">
        <v>0</v>
      </c>
      <c r="F59">
        <v>0</v>
      </c>
      <c r="G59">
        <v>0</v>
      </c>
      <c r="H59">
        <v>0</v>
      </c>
      <c r="I59">
        <v>0</v>
      </c>
    </row>
    <row r="60" spans="1:13" x14ac:dyDescent="0.25">
      <c r="A60" t="s">
        <v>36</v>
      </c>
      <c r="B60" t="s">
        <v>280</v>
      </c>
      <c r="C60">
        <v>3419255.28</v>
      </c>
      <c r="E60">
        <v>0</v>
      </c>
      <c r="F60">
        <v>0</v>
      </c>
      <c r="G60">
        <v>0</v>
      </c>
      <c r="H60">
        <v>0</v>
      </c>
      <c r="I60">
        <v>0</v>
      </c>
    </row>
    <row r="61" spans="1:13" x14ac:dyDescent="0.25">
      <c r="A61" t="s">
        <v>36</v>
      </c>
      <c r="B61" t="s">
        <v>281</v>
      </c>
      <c r="C61">
        <v>23633700.190000001</v>
      </c>
      <c r="E61">
        <v>0</v>
      </c>
      <c r="F61">
        <v>0</v>
      </c>
      <c r="G61">
        <v>0</v>
      </c>
      <c r="H61">
        <v>0</v>
      </c>
      <c r="I61">
        <v>0</v>
      </c>
      <c r="M61">
        <v>10072623.499999998</v>
      </c>
    </row>
    <row r="62" spans="1:13" x14ac:dyDescent="0.25">
      <c r="A62" t="s">
        <v>36</v>
      </c>
      <c r="B62" t="s">
        <v>282</v>
      </c>
      <c r="C62">
        <v>3749461.86</v>
      </c>
      <c r="E62">
        <v>0</v>
      </c>
      <c r="F62">
        <v>0</v>
      </c>
      <c r="G62">
        <v>0</v>
      </c>
      <c r="H62">
        <v>0</v>
      </c>
      <c r="I62">
        <v>0</v>
      </c>
    </row>
    <row r="63" spans="1:13" x14ac:dyDescent="0.25">
      <c r="A63" t="s">
        <v>36</v>
      </c>
      <c r="B63" t="s">
        <v>258</v>
      </c>
      <c r="C63">
        <v>461242.88</v>
      </c>
      <c r="E63">
        <v>0</v>
      </c>
      <c r="F63">
        <v>0</v>
      </c>
      <c r="G63">
        <v>0</v>
      </c>
      <c r="H63">
        <v>0</v>
      </c>
      <c r="I63">
        <v>0</v>
      </c>
    </row>
    <row r="64" spans="1:13" x14ac:dyDescent="0.25">
      <c r="A64" t="s">
        <v>36</v>
      </c>
      <c r="B64" t="s">
        <v>261</v>
      </c>
      <c r="C64">
        <v>-2180681.5500000031</v>
      </c>
      <c r="E64">
        <v>0</v>
      </c>
      <c r="F64">
        <v>0</v>
      </c>
      <c r="G64">
        <v>0</v>
      </c>
      <c r="H64">
        <v>0</v>
      </c>
      <c r="I64">
        <v>0</v>
      </c>
    </row>
    <row r="65" spans="1:13" x14ac:dyDescent="0.25">
      <c r="A65" t="s">
        <v>36</v>
      </c>
      <c r="B65" t="s">
        <v>283</v>
      </c>
      <c r="E65">
        <v>0</v>
      </c>
      <c r="F65">
        <v>0</v>
      </c>
      <c r="G65">
        <v>0</v>
      </c>
      <c r="H65">
        <v>0</v>
      </c>
      <c r="I65">
        <v>0</v>
      </c>
    </row>
    <row r="66" spans="1:13" x14ac:dyDescent="0.25">
      <c r="A66" t="s">
        <v>37</v>
      </c>
      <c r="B66" t="s">
        <v>278</v>
      </c>
      <c r="C66">
        <v>13124633.869999999</v>
      </c>
      <c r="E66">
        <v>0</v>
      </c>
      <c r="F66">
        <v>0</v>
      </c>
      <c r="G66">
        <v>0</v>
      </c>
      <c r="H66">
        <v>0</v>
      </c>
      <c r="I66">
        <v>0</v>
      </c>
    </row>
    <row r="67" spans="1:13" x14ac:dyDescent="0.25">
      <c r="A67" t="s">
        <v>37</v>
      </c>
      <c r="B67" t="s">
        <v>279</v>
      </c>
      <c r="C67">
        <v>3249438.47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13" x14ac:dyDescent="0.25">
      <c r="A68" t="s">
        <v>37</v>
      </c>
      <c r="B68" t="s">
        <v>280</v>
      </c>
      <c r="C68">
        <v>3443355.58</v>
      </c>
      <c r="E68">
        <v>0</v>
      </c>
      <c r="F68">
        <v>0</v>
      </c>
      <c r="G68">
        <v>0</v>
      </c>
      <c r="H68">
        <v>0</v>
      </c>
      <c r="I68">
        <v>0</v>
      </c>
    </row>
    <row r="69" spans="1:13" x14ac:dyDescent="0.25">
      <c r="A69" t="s">
        <v>37</v>
      </c>
      <c r="B69" t="s">
        <v>281</v>
      </c>
      <c r="C69">
        <v>27059563.280000001</v>
      </c>
      <c r="E69">
        <v>0</v>
      </c>
      <c r="F69">
        <v>0</v>
      </c>
      <c r="G69">
        <v>0</v>
      </c>
      <c r="H69">
        <v>0</v>
      </c>
      <c r="I69">
        <v>0</v>
      </c>
      <c r="M69">
        <v>10474412.020000001</v>
      </c>
    </row>
    <row r="70" spans="1:13" x14ac:dyDescent="0.25">
      <c r="A70" t="s">
        <v>37</v>
      </c>
      <c r="B70" t="s">
        <v>282</v>
      </c>
      <c r="C70">
        <v>3848071.37</v>
      </c>
      <c r="E70">
        <v>0</v>
      </c>
      <c r="F70">
        <v>0</v>
      </c>
      <c r="G70">
        <v>0</v>
      </c>
      <c r="H70">
        <v>0</v>
      </c>
      <c r="I70">
        <v>0</v>
      </c>
    </row>
    <row r="71" spans="1:13" x14ac:dyDescent="0.25">
      <c r="A71" t="s">
        <v>37</v>
      </c>
      <c r="B71" t="s">
        <v>258</v>
      </c>
      <c r="C71">
        <v>465963.25</v>
      </c>
      <c r="E71">
        <v>0</v>
      </c>
      <c r="F71">
        <v>0</v>
      </c>
      <c r="G71">
        <v>0</v>
      </c>
      <c r="H71">
        <v>0</v>
      </c>
      <c r="I71">
        <v>0</v>
      </c>
    </row>
    <row r="72" spans="1:13" x14ac:dyDescent="0.25">
      <c r="A72" t="s">
        <v>37</v>
      </c>
      <c r="B72" t="s">
        <v>261</v>
      </c>
      <c r="C72">
        <v>-2501556.8800000101</v>
      </c>
      <c r="E72">
        <v>0</v>
      </c>
      <c r="F72">
        <v>0</v>
      </c>
      <c r="G72">
        <v>0</v>
      </c>
      <c r="H72">
        <v>0</v>
      </c>
      <c r="I72">
        <v>0</v>
      </c>
    </row>
    <row r="73" spans="1:13" x14ac:dyDescent="0.25">
      <c r="A73" t="s">
        <v>37</v>
      </c>
      <c r="B73" t="s">
        <v>283</v>
      </c>
      <c r="E73">
        <v>0</v>
      </c>
      <c r="F73">
        <v>0</v>
      </c>
      <c r="G73">
        <v>0</v>
      </c>
      <c r="H73">
        <v>0</v>
      </c>
      <c r="I73">
        <v>0</v>
      </c>
    </row>
    <row r="74" spans="1:13" x14ac:dyDescent="0.25">
      <c r="A74" t="s">
        <v>38</v>
      </c>
      <c r="B74" t="s">
        <v>278</v>
      </c>
      <c r="C74">
        <v>12869614.99</v>
      </c>
      <c r="E74">
        <v>0</v>
      </c>
      <c r="F74">
        <v>0</v>
      </c>
      <c r="G74">
        <v>0</v>
      </c>
      <c r="H74">
        <v>0</v>
      </c>
      <c r="I74">
        <v>0</v>
      </c>
    </row>
    <row r="75" spans="1:13" x14ac:dyDescent="0.25">
      <c r="A75" t="s">
        <v>38</v>
      </c>
      <c r="B75" t="s">
        <v>279</v>
      </c>
      <c r="C75">
        <v>2987306.63</v>
      </c>
      <c r="E75">
        <v>0</v>
      </c>
      <c r="F75">
        <v>0</v>
      </c>
      <c r="G75">
        <v>0</v>
      </c>
      <c r="H75">
        <v>0</v>
      </c>
      <c r="I75">
        <v>0</v>
      </c>
    </row>
    <row r="76" spans="1:13" x14ac:dyDescent="0.25">
      <c r="A76" t="s">
        <v>38</v>
      </c>
      <c r="B76" t="s">
        <v>280</v>
      </c>
      <c r="C76">
        <v>4003784.07</v>
      </c>
      <c r="E76">
        <v>0</v>
      </c>
      <c r="F76">
        <v>0</v>
      </c>
      <c r="G76">
        <v>0</v>
      </c>
      <c r="H76">
        <v>0</v>
      </c>
      <c r="I76">
        <v>0</v>
      </c>
    </row>
    <row r="77" spans="1:13" x14ac:dyDescent="0.25">
      <c r="A77" t="s">
        <v>38</v>
      </c>
      <c r="B77" t="s">
        <v>281</v>
      </c>
      <c r="C77">
        <v>21777020.559999999</v>
      </c>
      <c r="E77">
        <v>0</v>
      </c>
      <c r="F77">
        <v>0</v>
      </c>
      <c r="G77">
        <v>0</v>
      </c>
      <c r="H77">
        <v>0</v>
      </c>
      <c r="I77">
        <v>0</v>
      </c>
      <c r="M77">
        <v>10291251.609999999</v>
      </c>
    </row>
    <row r="78" spans="1:13" x14ac:dyDescent="0.25">
      <c r="A78" t="s">
        <v>38</v>
      </c>
      <c r="B78" t="s">
        <v>282</v>
      </c>
      <c r="C78">
        <v>3749043.75</v>
      </c>
      <c r="E78">
        <v>0</v>
      </c>
      <c r="F78">
        <v>0</v>
      </c>
      <c r="G78">
        <v>0</v>
      </c>
      <c r="H78">
        <v>0</v>
      </c>
      <c r="I78">
        <v>0</v>
      </c>
    </row>
    <row r="79" spans="1:13" x14ac:dyDescent="0.25">
      <c r="A79" t="s">
        <v>38</v>
      </c>
      <c r="B79" t="s">
        <v>258</v>
      </c>
      <c r="C79">
        <v>458438.66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13" x14ac:dyDescent="0.25">
      <c r="A80" t="s">
        <v>38</v>
      </c>
      <c r="B80" t="s">
        <v>261</v>
      </c>
      <c r="C80">
        <v>-1754001.680000002</v>
      </c>
      <c r="E80">
        <v>0</v>
      </c>
      <c r="F80">
        <v>0</v>
      </c>
      <c r="G80">
        <v>0</v>
      </c>
      <c r="H80">
        <v>0</v>
      </c>
      <c r="I80">
        <v>0</v>
      </c>
    </row>
    <row r="81" spans="1:13" x14ac:dyDescent="0.25">
      <c r="A81" t="s">
        <v>38</v>
      </c>
      <c r="B81" t="s">
        <v>283</v>
      </c>
      <c r="E81">
        <v>0</v>
      </c>
      <c r="F81">
        <v>0</v>
      </c>
      <c r="G81">
        <v>0</v>
      </c>
      <c r="H81">
        <v>0</v>
      </c>
      <c r="I81">
        <v>0</v>
      </c>
    </row>
    <row r="82" spans="1:13" x14ac:dyDescent="0.25">
      <c r="A82" t="s">
        <v>39</v>
      </c>
      <c r="B82" t="s">
        <v>278</v>
      </c>
      <c r="C82">
        <v>12306095.630000001</v>
      </c>
      <c r="E82">
        <v>0</v>
      </c>
      <c r="F82">
        <v>0</v>
      </c>
      <c r="G82">
        <v>0</v>
      </c>
      <c r="H82">
        <v>0</v>
      </c>
      <c r="I82">
        <v>0</v>
      </c>
    </row>
    <row r="83" spans="1:13" x14ac:dyDescent="0.25">
      <c r="A83" t="s">
        <v>39</v>
      </c>
      <c r="B83" t="s">
        <v>279</v>
      </c>
      <c r="C83">
        <v>2906828.77</v>
      </c>
      <c r="E83">
        <v>0</v>
      </c>
      <c r="F83">
        <v>0</v>
      </c>
      <c r="G83">
        <v>0</v>
      </c>
      <c r="H83">
        <v>0</v>
      </c>
      <c r="I83">
        <v>0</v>
      </c>
    </row>
    <row r="84" spans="1:13" x14ac:dyDescent="0.25">
      <c r="A84" t="s">
        <v>39</v>
      </c>
      <c r="B84" t="s">
        <v>280</v>
      </c>
      <c r="C84">
        <v>2756960.31</v>
      </c>
      <c r="E84">
        <v>0</v>
      </c>
      <c r="F84">
        <v>0</v>
      </c>
      <c r="G84">
        <v>0</v>
      </c>
      <c r="H84">
        <v>0</v>
      </c>
      <c r="I84">
        <v>0</v>
      </c>
    </row>
    <row r="85" spans="1:13" x14ac:dyDescent="0.25">
      <c r="A85" t="s">
        <v>39</v>
      </c>
      <c r="B85" t="s">
        <v>281</v>
      </c>
      <c r="C85">
        <v>26517657.66</v>
      </c>
      <c r="E85">
        <v>0</v>
      </c>
      <c r="F85">
        <v>0</v>
      </c>
      <c r="G85">
        <v>0</v>
      </c>
      <c r="H85">
        <v>0</v>
      </c>
      <c r="I85">
        <v>0</v>
      </c>
      <c r="M85">
        <v>10307904.279999999</v>
      </c>
    </row>
    <row r="86" spans="1:13" x14ac:dyDescent="0.25">
      <c r="A86" t="s">
        <v>39</v>
      </c>
      <c r="B86" t="s">
        <v>282</v>
      </c>
      <c r="C86">
        <v>3450194.39</v>
      </c>
      <c r="E86">
        <v>0</v>
      </c>
      <c r="F86">
        <v>0</v>
      </c>
      <c r="G86">
        <v>0</v>
      </c>
      <c r="H86">
        <v>0</v>
      </c>
      <c r="I86">
        <v>0</v>
      </c>
    </row>
    <row r="87" spans="1:13" x14ac:dyDescent="0.25">
      <c r="A87" t="s">
        <v>39</v>
      </c>
      <c r="B87" t="s">
        <v>258</v>
      </c>
      <c r="C87">
        <v>453998.55999999988</v>
      </c>
      <c r="E87">
        <v>0</v>
      </c>
      <c r="F87">
        <v>0</v>
      </c>
      <c r="G87">
        <v>0</v>
      </c>
      <c r="H87">
        <v>0</v>
      </c>
      <c r="I87">
        <v>0</v>
      </c>
    </row>
    <row r="88" spans="1:13" x14ac:dyDescent="0.25">
      <c r="A88" t="s">
        <v>39</v>
      </c>
      <c r="B88" t="s">
        <v>261</v>
      </c>
      <c r="C88">
        <v>-1027449.279999999</v>
      </c>
      <c r="E88">
        <v>0</v>
      </c>
      <c r="F88">
        <v>0</v>
      </c>
      <c r="G88">
        <v>0</v>
      </c>
      <c r="H88">
        <v>0</v>
      </c>
      <c r="I88">
        <v>0</v>
      </c>
    </row>
    <row r="89" spans="1:13" x14ac:dyDescent="0.25">
      <c r="A89" t="s">
        <v>39</v>
      </c>
      <c r="B89" t="s">
        <v>283</v>
      </c>
      <c r="E89">
        <v>0</v>
      </c>
      <c r="F89">
        <v>0</v>
      </c>
      <c r="G89">
        <v>0</v>
      </c>
      <c r="H89">
        <v>0</v>
      </c>
      <c r="I89">
        <v>0</v>
      </c>
    </row>
    <row r="90" spans="1:13" x14ac:dyDescent="0.25">
      <c r="A90" t="s">
        <v>40</v>
      </c>
      <c r="B90" t="s">
        <v>278</v>
      </c>
      <c r="C90">
        <v>13562074.76</v>
      </c>
      <c r="E90">
        <v>0</v>
      </c>
      <c r="F90">
        <v>0</v>
      </c>
      <c r="G90">
        <v>0</v>
      </c>
      <c r="H90">
        <v>0</v>
      </c>
      <c r="I90">
        <v>0</v>
      </c>
    </row>
    <row r="91" spans="1:13" x14ac:dyDescent="0.25">
      <c r="A91" t="s">
        <v>40</v>
      </c>
      <c r="B91" t="s">
        <v>279</v>
      </c>
      <c r="C91">
        <v>3190898.120000001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13" x14ac:dyDescent="0.25">
      <c r="A92" t="s">
        <v>40</v>
      </c>
      <c r="B92" t="s">
        <v>280</v>
      </c>
      <c r="C92">
        <v>3488349.0799999991</v>
      </c>
      <c r="E92">
        <v>0</v>
      </c>
      <c r="F92">
        <v>0</v>
      </c>
      <c r="G92">
        <v>0</v>
      </c>
      <c r="H92">
        <v>0</v>
      </c>
      <c r="I92">
        <v>0</v>
      </c>
    </row>
    <row r="93" spans="1:13" x14ac:dyDescent="0.25">
      <c r="A93" t="s">
        <v>40</v>
      </c>
      <c r="B93" t="s">
        <v>281</v>
      </c>
      <c r="C93">
        <v>23310994.27</v>
      </c>
      <c r="E93">
        <v>0</v>
      </c>
      <c r="F93">
        <v>0</v>
      </c>
      <c r="G93">
        <v>0</v>
      </c>
      <c r="H93">
        <v>0</v>
      </c>
      <c r="I93">
        <v>0</v>
      </c>
      <c r="M93">
        <v>10720744.789999999</v>
      </c>
    </row>
    <row r="94" spans="1:13" x14ac:dyDescent="0.25">
      <c r="A94" t="s">
        <v>40</v>
      </c>
      <c r="B94" t="s">
        <v>282</v>
      </c>
      <c r="C94">
        <v>3837644.59</v>
      </c>
      <c r="E94">
        <v>0</v>
      </c>
      <c r="F94">
        <v>0</v>
      </c>
      <c r="G94">
        <v>0</v>
      </c>
      <c r="H94">
        <v>0</v>
      </c>
      <c r="I94">
        <v>0</v>
      </c>
    </row>
    <row r="95" spans="1:13" x14ac:dyDescent="0.25">
      <c r="A95" t="s">
        <v>40</v>
      </c>
      <c r="B95" t="s">
        <v>258</v>
      </c>
      <c r="C95">
        <v>429191.72</v>
      </c>
      <c r="E95">
        <v>0</v>
      </c>
      <c r="F95">
        <v>0</v>
      </c>
      <c r="G95">
        <v>0</v>
      </c>
      <c r="H95">
        <v>0</v>
      </c>
      <c r="I95">
        <v>0</v>
      </c>
    </row>
    <row r="96" spans="1:13" x14ac:dyDescent="0.25">
      <c r="A96" t="s">
        <v>40</v>
      </c>
      <c r="B96" t="s">
        <v>261</v>
      </c>
      <c r="C96">
        <v>29994897.770000011</v>
      </c>
      <c r="E96">
        <v>0</v>
      </c>
      <c r="F96">
        <v>0</v>
      </c>
      <c r="G96">
        <v>0</v>
      </c>
      <c r="H96">
        <v>0</v>
      </c>
      <c r="I96">
        <v>0</v>
      </c>
    </row>
    <row r="97" spans="1:19" x14ac:dyDescent="0.25">
      <c r="A97" t="s">
        <v>40</v>
      </c>
      <c r="B97" t="s">
        <v>283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19" x14ac:dyDescent="0.25">
      <c r="A98" t="s">
        <v>41</v>
      </c>
      <c r="B98" t="s">
        <v>278</v>
      </c>
      <c r="C98">
        <v>9019074.1237852108</v>
      </c>
      <c r="D98">
        <v>8109658.2289718306</v>
      </c>
      <c r="E98">
        <v>0</v>
      </c>
      <c r="F98">
        <v>0</v>
      </c>
      <c r="G98">
        <v>0</v>
      </c>
      <c r="H98">
        <v>0</v>
      </c>
      <c r="I98">
        <v>0</v>
      </c>
    </row>
    <row r="99" spans="1:19" x14ac:dyDescent="0.25">
      <c r="A99" t="s">
        <v>41</v>
      </c>
      <c r="B99" t="s">
        <v>279</v>
      </c>
      <c r="C99">
        <v>2122016.5184907801</v>
      </c>
      <c r="D99">
        <v>1908048.263602755</v>
      </c>
      <c r="E99">
        <v>0</v>
      </c>
      <c r="F99">
        <v>0</v>
      </c>
      <c r="G99">
        <v>0</v>
      </c>
      <c r="H99">
        <v>0</v>
      </c>
      <c r="I99">
        <v>0</v>
      </c>
    </row>
    <row r="100" spans="1:19" x14ac:dyDescent="0.25">
      <c r="A100" t="s">
        <v>41</v>
      </c>
      <c r="B100" t="s">
        <v>280</v>
      </c>
      <c r="C100">
        <v>2319827.8640190838</v>
      </c>
      <c r="D100">
        <v>2085913.7943690489</v>
      </c>
      <c r="E100">
        <v>0</v>
      </c>
      <c r="F100">
        <v>0</v>
      </c>
      <c r="G100">
        <v>0</v>
      </c>
      <c r="H100">
        <v>0</v>
      </c>
      <c r="I100">
        <v>0</v>
      </c>
    </row>
    <row r="101" spans="1:19" x14ac:dyDescent="0.25">
      <c r="A101" t="s">
        <v>41</v>
      </c>
      <c r="B101" t="s">
        <v>281</v>
      </c>
      <c r="C101">
        <v>15502317.22954035</v>
      </c>
      <c r="D101">
        <v>13939179.65006268</v>
      </c>
      <c r="E101">
        <v>0</v>
      </c>
      <c r="F101">
        <v>0</v>
      </c>
      <c r="G101">
        <v>0</v>
      </c>
      <c r="H101">
        <v>0</v>
      </c>
      <c r="I101">
        <v>0</v>
      </c>
      <c r="M101">
        <v>10388045.989999998</v>
      </c>
      <c r="N101">
        <v>10381048.422</v>
      </c>
      <c r="S101">
        <v>54182</v>
      </c>
    </row>
    <row r="102" spans="1:19" x14ac:dyDescent="0.25">
      <c r="A102" t="s">
        <v>41</v>
      </c>
      <c r="B102" t="s">
        <v>282</v>
      </c>
      <c r="C102">
        <v>2552116.960749839</v>
      </c>
      <c r="D102">
        <v>2294780.5980950608</v>
      </c>
      <c r="E102">
        <v>0</v>
      </c>
      <c r="F102">
        <v>0</v>
      </c>
      <c r="G102">
        <v>0</v>
      </c>
      <c r="H102">
        <v>0</v>
      </c>
      <c r="I102">
        <v>0</v>
      </c>
    </row>
    <row r="103" spans="1:19" x14ac:dyDescent="0.25">
      <c r="A103" t="s">
        <v>41</v>
      </c>
      <c r="B103" t="s">
        <v>258</v>
      </c>
      <c r="C103">
        <v>285421.81078456668</v>
      </c>
      <c r="D103">
        <v>256642.01278186831</v>
      </c>
      <c r="E103">
        <v>0</v>
      </c>
      <c r="F103">
        <v>0</v>
      </c>
      <c r="G103">
        <v>0</v>
      </c>
      <c r="H103">
        <v>0</v>
      </c>
      <c r="I103">
        <v>0</v>
      </c>
    </row>
    <row r="104" spans="1:19" x14ac:dyDescent="0.25">
      <c r="A104" t="s">
        <v>41</v>
      </c>
      <c r="B104" t="s">
        <v>261</v>
      </c>
      <c r="C104">
        <v>19947258.152630169</v>
      </c>
      <c r="D104">
        <v>17935926.01665096</v>
      </c>
      <c r="E104">
        <v>0</v>
      </c>
      <c r="F104">
        <v>0</v>
      </c>
      <c r="G104">
        <v>0</v>
      </c>
      <c r="H104">
        <v>0</v>
      </c>
      <c r="I104">
        <v>0</v>
      </c>
    </row>
    <row r="105" spans="1:19" x14ac:dyDescent="0.25">
      <c r="A105" t="s">
        <v>41</v>
      </c>
      <c r="B105" t="s">
        <v>283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5F640-94C6-4416-988F-ACBF26AEED15}">
  <dimension ref="A1:D14"/>
  <sheetViews>
    <sheetView workbookViewId="0">
      <selection activeCell="E1" sqref="E1"/>
    </sheetView>
  </sheetViews>
  <sheetFormatPr defaultRowHeight="15" x14ac:dyDescent="0.25"/>
  <cols>
    <col min="2" max="2" width="10.140625" bestFit="1" customWidth="1"/>
    <col min="4" max="4" width="10.140625" bestFit="1" customWidth="1"/>
  </cols>
  <sheetData>
    <row r="1" spans="1:4" x14ac:dyDescent="0.25">
      <c r="A1" t="s">
        <v>0</v>
      </c>
      <c r="B1" t="s">
        <v>265</v>
      </c>
      <c r="C1" t="s">
        <v>272</v>
      </c>
      <c r="D1" t="s">
        <v>274</v>
      </c>
    </row>
    <row r="2" spans="1:4" x14ac:dyDescent="0.25">
      <c r="A2" s="27" t="s">
        <v>316</v>
      </c>
      <c r="B2" s="2">
        <v>31159130.209999993</v>
      </c>
      <c r="C2" s="2">
        <v>6228573.3000000007</v>
      </c>
      <c r="D2" s="2">
        <v>1794294.1099999999</v>
      </c>
    </row>
    <row r="3" spans="1:4" x14ac:dyDescent="0.25">
      <c r="A3" s="27" t="s">
        <v>317</v>
      </c>
      <c r="B3" s="2">
        <v>32121989.370000001</v>
      </c>
      <c r="C3" s="2">
        <v>5307783.1099999994</v>
      </c>
      <c r="D3" s="2">
        <v>2051673.9300000002</v>
      </c>
    </row>
    <row r="4" spans="1:4" x14ac:dyDescent="0.25">
      <c r="A4" s="27" t="s">
        <v>318</v>
      </c>
      <c r="B4" s="2">
        <v>31648323.949999999</v>
      </c>
      <c r="C4" s="2">
        <v>5272540.3400000008</v>
      </c>
      <c r="D4" s="2">
        <v>3508708.8299999996</v>
      </c>
    </row>
    <row r="5" spans="1:4" x14ac:dyDescent="0.25">
      <c r="A5" s="27" t="s">
        <v>319</v>
      </c>
      <c r="B5" s="2">
        <v>32024762.030000009</v>
      </c>
      <c r="C5" s="2">
        <v>5082307.5600000005</v>
      </c>
      <c r="D5" s="2">
        <v>339478.19</v>
      </c>
    </row>
    <row r="6" spans="1:4" x14ac:dyDescent="0.25">
      <c r="A6" s="27" t="s">
        <v>320</v>
      </c>
      <c r="B6" s="2">
        <v>31702968.669999994</v>
      </c>
      <c r="C6" s="2">
        <v>5109971.28</v>
      </c>
      <c r="D6" s="2">
        <v>3626652.96</v>
      </c>
    </row>
    <row r="7" spans="1:4" x14ac:dyDescent="0.25">
      <c r="A7" s="27" t="s">
        <v>321</v>
      </c>
      <c r="B7" s="2">
        <v>30821168.199999996</v>
      </c>
      <c r="C7" s="2">
        <v>5127801.24</v>
      </c>
      <c r="D7" s="2">
        <v>3790055.91</v>
      </c>
    </row>
    <row r="8" spans="1:4" x14ac:dyDescent="0.25">
      <c r="A8" s="27" t="s">
        <v>322</v>
      </c>
      <c r="B8" s="2">
        <v>30469779.330000002</v>
      </c>
      <c r="C8" s="2">
        <v>5768038.7200000007</v>
      </c>
      <c r="D8" s="2">
        <v>3324403.65</v>
      </c>
    </row>
    <row r="9" spans="1:4" x14ac:dyDescent="0.25">
      <c r="A9" s="27" t="s">
        <v>323</v>
      </c>
      <c r="B9" s="2">
        <v>31318959.609999999</v>
      </c>
      <c r="C9" s="2">
        <v>5770776.1099999994</v>
      </c>
      <c r="D9" s="2">
        <v>2003392.3499999999</v>
      </c>
    </row>
    <row r="10" spans="1:4" x14ac:dyDescent="0.25">
      <c r="A10" s="27" t="s">
        <v>324</v>
      </c>
      <c r="B10" s="2">
        <v>31467530.57</v>
      </c>
      <c r="C10" s="2">
        <v>5423163.1400000006</v>
      </c>
      <c r="D10" s="2">
        <v>8597921.5999999996</v>
      </c>
    </row>
    <row r="11" spans="1:4" x14ac:dyDescent="0.25">
      <c r="A11" s="27" t="s">
        <v>325</v>
      </c>
      <c r="B11" s="2">
        <v>31151809.159999996</v>
      </c>
      <c r="C11" s="2">
        <v>5265592.28</v>
      </c>
      <c r="D11" s="2">
        <v>1860997.0299999998</v>
      </c>
    </row>
    <row r="12" spans="1:4" x14ac:dyDescent="0.25">
      <c r="A12" s="27" t="s">
        <v>326</v>
      </c>
      <c r="B12" s="2">
        <v>30478167.400000002</v>
      </c>
      <c r="C12" s="2">
        <v>4232223.7699999996</v>
      </c>
      <c r="D12" s="2">
        <v>-5742407.8900000006</v>
      </c>
    </row>
    <row r="13" spans="1:4" x14ac:dyDescent="0.25">
      <c r="A13" s="27" t="s">
        <v>327</v>
      </c>
      <c r="B13" s="2">
        <v>32277169.499999993</v>
      </c>
      <c r="C13" s="2">
        <v>4703865.16</v>
      </c>
      <c r="D13" s="2">
        <v>-8071186.4800000004</v>
      </c>
    </row>
    <row r="14" spans="1:4" x14ac:dyDescent="0.25">
      <c r="A14" s="27" t="s">
        <v>328</v>
      </c>
      <c r="B14" s="2">
        <v>29153007.32</v>
      </c>
      <c r="C14" s="2">
        <v>2443147.4700000002</v>
      </c>
      <c r="D14" s="2">
        <v>26074374.160000004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"/>
  <sheetViews>
    <sheetView workbookViewId="0"/>
  </sheetViews>
  <sheetFormatPr defaultRowHeight="15" x14ac:dyDescent="0.25"/>
  <sheetData>
    <row r="1" spans="1:6" x14ac:dyDescent="0.25">
      <c r="A1" s="1" t="s">
        <v>0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1"/>
  <sheetViews>
    <sheetView workbookViewId="0"/>
  </sheetViews>
  <sheetFormatPr defaultRowHeight="15" x14ac:dyDescent="0.25"/>
  <sheetData>
    <row r="1" spans="1:7" x14ac:dyDescent="0.25">
      <c r="A1" s="1" t="s">
        <v>289</v>
      </c>
      <c r="B1" s="1" t="s">
        <v>290</v>
      </c>
      <c r="C1" s="1" t="s">
        <v>291</v>
      </c>
      <c r="D1" s="1" t="s">
        <v>292</v>
      </c>
      <c r="E1" s="1" t="s">
        <v>293</v>
      </c>
      <c r="F1" s="1" t="s">
        <v>47</v>
      </c>
      <c r="G1" s="1" t="s">
        <v>294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93"/>
  <sheetViews>
    <sheetView workbookViewId="0">
      <pane xSplit="1" ySplit="1" topLeftCell="B71" activePane="bottomRight" state="frozen"/>
      <selection pane="topRight" activeCell="B1" sqref="B1"/>
      <selection pane="bottomLeft" activeCell="A2" sqref="A2"/>
      <selection pane="bottomRight" activeCell="C86" sqref="C86:C90"/>
    </sheetView>
  </sheetViews>
  <sheetFormatPr defaultRowHeight="15" x14ac:dyDescent="0.25"/>
  <cols>
    <col min="2" max="2" width="18.7109375" bestFit="1" customWidth="1"/>
    <col min="3" max="3" width="12" bestFit="1" customWidth="1"/>
    <col min="4" max="4" width="13.85546875" bestFit="1" customWidth="1"/>
    <col min="5" max="5" width="12" bestFit="1" customWidth="1"/>
    <col min="6" max="6" width="14.7109375" bestFit="1" customWidth="1"/>
    <col min="7" max="7" width="7.28515625" bestFit="1" customWidth="1"/>
    <col min="8" max="8" width="12" bestFit="1" customWidth="1"/>
    <col min="9" max="9" width="9.28515625" customWidth="1"/>
  </cols>
  <sheetData>
    <row r="1" spans="1:8" x14ac:dyDescent="0.25">
      <c r="A1" s="1" t="s">
        <v>0</v>
      </c>
      <c r="B1" s="1" t="s">
        <v>295</v>
      </c>
      <c r="C1" s="1" t="s">
        <v>50</v>
      </c>
      <c r="D1" s="1" t="s">
        <v>57</v>
      </c>
      <c r="E1" s="1" t="s">
        <v>262</v>
      </c>
      <c r="F1" s="1" t="s">
        <v>263</v>
      </c>
      <c r="G1" s="1" t="s">
        <v>27</v>
      </c>
      <c r="H1" s="1" t="s">
        <v>266</v>
      </c>
    </row>
    <row r="2" spans="1:8" x14ac:dyDescent="0.25">
      <c r="A2" t="s">
        <v>29</v>
      </c>
      <c r="B2" t="s">
        <v>296</v>
      </c>
      <c r="C2">
        <v>820297.73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29</v>
      </c>
      <c r="B3" t="s">
        <v>297</v>
      </c>
      <c r="C3">
        <v>29407.38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29</v>
      </c>
      <c r="B4" t="s">
        <v>298</v>
      </c>
      <c r="C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29</v>
      </c>
      <c r="B5" t="s">
        <v>299</v>
      </c>
      <c r="C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29</v>
      </c>
      <c r="B6" t="s">
        <v>300</v>
      </c>
      <c r="C6">
        <v>88888.9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29</v>
      </c>
      <c r="B7" t="s">
        <v>301</v>
      </c>
      <c r="C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29</v>
      </c>
      <c r="B8" t="s">
        <v>261</v>
      </c>
      <c r="C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30</v>
      </c>
      <c r="B9" t="s">
        <v>296</v>
      </c>
      <c r="C9">
        <v>1008044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30</v>
      </c>
      <c r="B10" t="s">
        <v>297</v>
      </c>
      <c r="C10">
        <v>-59481.120000000003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30</v>
      </c>
      <c r="B11" t="s">
        <v>298</v>
      </c>
      <c r="C11">
        <v>450000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30</v>
      </c>
      <c r="B12" t="s">
        <v>299</v>
      </c>
      <c r="C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30</v>
      </c>
      <c r="B13" t="s">
        <v>300</v>
      </c>
      <c r="C13">
        <v>88888.9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30</v>
      </c>
      <c r="B14" t="s">
        <v>301</v>
      </c>
      <c r="C14">
        <v>543.16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30</v>
      </c>
      <c r="B15" t="s">
        <v>261</v>
      </c>
      <c r="C15">
        <v>0</v>
      </c>
      <c r="E15">
        <v>0</v>
      </c>
      <c r="F15">
        <v>0</v>
      </c>
      <c r="G15">
        <v>0</v>
      </c>
      <c r="H15">
        <v>0</v>
      </c>
    </row>
    <row r="16" spans="1:8" x14ac:dyDescent="0.25">
      <c r="A16" t="s">
        <v>31</v>
      </c>
      <c r="B16" t="s">
        <v>296</v>
      </c>
      <c r="C16">
        <v>819122.22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31</v>
      </c>
      <c r="B17" t="s">
        <v>297</v>
      </c>
      <c r="C17">
        <v>29407.78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31</v>
      </c>
      <c r="B18" t="s">
        <v>298</v>
      </c>
      <c r="C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31</v>
      </c>
      <c r="B19" t="s">
        <v>299</v>
      </c>
      <c r="C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31</v>
      </c>
      <c r="B20" t="s">
        <v>300</v>
      </c>
      <c r="C20">
        <v>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 t="s">
        <v>31</v>
      </c>
      <c r="B21" t="s">
        <v>301</v>
      </c>
      <c r="C21">
        <v>937.6</v>
      </c>
      <c r="E21">
        <v>0</v>
      </c>
      <c r="F21">
        <v>0</v>
      </c>
      <c r="G21">
        <v>0</v>
      </c>
      <c r="H21">
        <v>0</v>
      </c>
    </row>
    <row r="22" spans="1:8" x14ac:dyDescent="0.25">
      <c r="A22" t="s">
        <v>31</v>
      </c>
      <c r="B22" t="s">
        <v>261</v>
      </c>
      <c r="C22">
        <v>0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32</v>
      </c>
      <c r="B23" t="s">
        <v>296</v>
      </c>
      <c r="C23">
        <v>810855.89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32</v>
      </c>
      <c r="B24" t="s">
        <v>297</v>
      </c>
      <c r="C24">
        <v>0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t="s">
        <v>32</v>
      </c>
      <c r="B25" t="s">
        <v>298</v>
      </c>
      <c r="C25">
        <v>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 t="s">
        <v>32</v>
      </c>
      <c r="B26" t="s">
        <v>299</v>
      </c>
      <c r="C26">
        <v>0</v>
      </c>
      <c r="E26">
        <v>0</v>
      </c>
      <c r="F26">
        <v>0</v>
      </c>
      <c r="G26">
        <v>0</v>
      </c>
      <c r="H26">
        <v>0</v>
      </c>
    </row>
    <row r="27" spans="1:8" x14ac:dyDescent="0.25">
      <c r="A27" t="s">
        <v>32</v>
      </c>
      <c r="B27" t="s">
        <v>300</v>
      </c>
      <c r="C27">
        <v>0</v>
      </c>
      <c r="E27">
        <v>0</v>
      </c>
      <c r="F27">
        <v>0</v>
      </c>
      <c r="G27">
        <v>0</v>
      </c>
      <c r="H27">
        <v>0</v>
      </c>
    </row>
    <row r="28" spans="1:8" x14ac:dyDescent="0.25">
      <c r="A28" t="s">
        <v>32</v>
      </c>
      <c r="B28" t="s">
        <v>301</v>
      </c>
      <c r="C28">
        <v>1010.64</v>
      </c>
      <c r="E28">
        <v>0</v>
      </c>
      <c r="F28">
        <v>0</v>
      </c>
      <c r="G28">
        <v>0</v>
      </c>
      <c r="H28">
        <v>0</v>
      </c>
    </row>
    <row r="29" spans="1:8" x14ac:dyDescent="0.25">
      <c r="A29" t="s">
        <v>32</v>
      </c>
      <c r="B29" t="s">
        <v>261</v>
      </c>
      <c r="C29">
        <v>0</v>
      </c>
      <c r="E29">
        <v>0</v>
      </c>
      <c r="F29">
        <v>0</v>
      </c>
      <c r="G29">
        <v>0</v>
      </c>
      <c r="H29">
        <v>0</v>
      </c>
    </row>
    <row r="30" spans="1:8" x14ac:dyDescent="0.25">
      <c r="A30" t="s">
        <v>33</v>
      </c>
      <c r="B30" t="s">
        <v>296</v>
      </c>
      <c r="C30">
        <v>819188.89</v>
      </c>
      <c r="E30">
        <v>0</v>
      </c>
      <c r="F30">
        <v>0</v>
      </c>
      <c r="G30">
        <v>0</v>
      </c>
      <c r="H30">
        <v>0</v>
      </c>
    </row>
    <row r="31" spans="1:8" x14ac:dyDescent="0.25">
      <c r="A31" t="s">
        <v>33</v>
      </c>
      <c r="B31" t="s">
        <v>297</v>
      </c>
      <c r="C31">
        <v>0</v>
      </c>
      <c r="E31">
        <v>0</v>
      </c>
      <c r="F31">
        <v>0</v>
      </c>
      <c r="G31">
        <v>0</v>
      </c>
      <c r="H31">
        <v>0</v>
      </c>
    </row>
    <row r="32" spans="1:8" x14ac:dyDescent="0.25">
      <c r="A32" t="s">
        <v>33</v>
      </c>
      <c r="B32" t="s">
        <v>298</v>
      </c>
      <c r="C32">
        <v>0</v>
      </c>
      <c r="E32">
        <v>0</v>
      </c>
      <c r="F32">
        <v>0</v>
      </c>
      <c r="G32">
        <v>0</v>
      </c>
      <c r="H32">
        <v>0</v>
      </c>
    </row>
    <row r="33" spans="1:8" x14ac:dyDescent="0.25">
      <c r="A33" t="s">
        <v>33</v>
      </c>
      <c r="B33" t="s">
        <v>299</v>
      </c>
      <c r="C33">
        <v>0</v>
      </c>
      <c r="E33">
        <v>0</v>
      </c>
      <c r="F33">
        <v>0</v>
      </c>
      <c r="G33">
        <v>0</v>
      </c>
      <c r="H33">
        <v>0</v>
      </c>
    </row>
    <row r="34" spans="1:8" x14ac:dyDescent="0.25">
      <c r="A34" t="s">
        <v>33</v>
      </c>
      <c r="B34" t="s">
        <v>300</v>
      </c>
      <c r="C34">
        <v>355555.6</v>
      </c>
      <c r="E34">
        <v>0</v>
      </c>
      <c r="F34">
        <v>0</v>
      </c>
      <c r="G34">
        <v>0</v>
      </c>
      <c r="H34">
        <v>0</v>
      </c>
    </row>
    <row r="35" spans="1:8" x14ac:dyDescent="0.25">
      <c r="A35" t="s">
        <v>33</v>
      </c>
      <c r="B35" t="s">
        <v>301</v>
      </c>
      <c r="C35">
        <v>463.7</v>
      </c>
      <c r="E35">
        <v>0</v>
      </c>
      <c r="F35">
        <v>0</v>
      </c>
      <c r="G35">
        <v>0</v>
      </c>
      <c r="H35">
        <v>0</v>
      </c>
    </row>
    <row r="36" spans="1:8" x14ac:dyDescent="0.25">
      <c r="A36" t="s">
        <v>33</v>
      </c>
      <c r="B36" t="s">
        <v>261</v>
      </c>
      <c r="C36">
        <v>0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34</v>
      </c>
      <c r="B37" t="s">
        <v>296</v>
      </c>
      <c r="C37">
        <v>859566.67</v>
      </c>
      <c r="E37">
        <v>0</v>
      </c>
      <c r="F37">
        <v>0</v>
      </c>
      <c r="G37">
        <v>0</v>
      </c>
      <c r="H37">
        <v>0</v>
      </c>
    </row>
    <row r="38" spans="1:8" x14ac:dyDescent="0.25">
      <c r="A38" t="s">
        <v>34</v>
      </c>
      <c r="B38" t="s">
        <v>297</v>
      </c>
      <c r="C38">
        <v>-17847.78</v>
      </c>
      <c r="E38">
        <v>0</v>
      </c>
      <c r="F38">
        <v>0</v>
      </c>
      <c r="G38">
        <v>0</v>
      </c>
      <c r="H38">
        <v>0</v>
      </c>
    </row>
    <row r="39" spans="1:8" x14ac:dyDescent="0.25">
      <c r="A39" t="s">
        <v>34</v>
      </c>
      <c r="B39" t="s">
        <v>298</v>
      </c>
      <c r="C39">
        <v>0</v>
      </c>
      <c r="E39">
        <v>0</v>
      </c>
      <c r="F39">
        <v>0</v>
      </c>
      <c r="G39">
        <v>0</v>
      </c>
      <c r="H39">
        <v>0</v>
      </c>
    </row>
    <row r="40" spans="1:8" x14ac:dyDescent="0.25">
      <c r="A40" t="s">
        <v>34</v>
      </c>
      <c r="B40" t="s">
        <v>299</v>
      </c>
      <c r="C40">
        <v>0</v>
      </c>
      <c r="E40">
        <v>0</v>
      </c>
      <c r="F40">
        <v>0</v>
      </c>
      <c r="G40">
        <v>0</v>
      </c>
      <c r="H40">
        <v>0</v>
      </c>
    </row>
    <row r="41" spans="1:8" x14ac:dyDescent="0.25">
      <c r="A41" t="s">
        <v>34</v>
      </c>
      <c r="B41" t="s">
        <v>300</v>
      </c>
      <c r="C41">
        <v>88888.9</v>
      </c>
      <c r="E41">
        <v>0</v>
      </c>
      <c r="F41">
        <v>0</v>
      </c>
      <c r="G41">
        <v>0</v>
      </c>
      <c r="H41">
        <v>0</v>
      </c>
    </row>
    <row r="42" spans="1:8" x14ac:dyDescent="0.25">
      <c r="A42" t="s">
        <v>34</v>
      </c>
      <c r="B42" t="s">
        <v>301</v>
      </c>
      <c r="C42">
        <v>674.72</v>
      </c>
      <c r="E42">
        <v>0</v>
      </c>
      <c r="F42">
        <v>0</v>
      </c>
      <c r="G42">
        <v>0</v>
      </c>
      <c r="H42">
        <v>0</v>
      </c>
    </row>
    <row r="43" spans="1:8" x14ac:dyDescent="0.25">
      <c r="A43" t="s">
        <v>34</v>
      </c>
      <c r="B43" t="s">
        <v>261</v>
      </c>
      <c r="C43">
        <v>0</v>
      </c>
      <c r="E43">
        <v>0</v>
      </c>
      <c r="F43">
        <v>0</v>
      </c>
      <c r="G43">
        <v>0</v>
      </c>
      <c r="H43">
        <v>0</v>
      </c>
    </row>
    <row r="44" spans="1:8" x14ac:dyDescent="0.25">
      <c r="A44" t="s">
        <v>35</v>
      </c>
      <c r="B44" t="s">
        <v>296</v>
      </c>
      <c r="C44">
        <v>820811.11</v>
      </c>
      <c r="E44">
        <v>0</v>
      </c>
      <c r="F44">
        <v>0</v>
      </c>
      <c r="G44">
        <v>0</v>
      </c>
      <c r="H44">
        <v>0</v>
      </c>
    </row>
    <row r="45" spans="1:8" x14ac:dyDescent="0.25">
      <c r="A45" t="s">
        <v>35</v>
      </c>
      <c r="B45" t="s">
        <v>297</v>
      </c>
      <c r="C45">
        <v>0</v>
      </c>
      <c r="E45">
        <v>0</v>
      </c>
      <c r="F45">
        <v>0</v>
      </c>
      <c r="G45">
        <v>0</v>
      </c>
      <c r="H45">
        <v>0</v>
      </c>
    </row>
    <row r="46" spans="1:8" x14ac:dyDescent="0.25">
      <c r="A46" t="s">
        <v>35</v>
      </c>
      <c r="B46" t="s">
        <v>298</v>
      </c>
      <c r="C46">
        <v>0</v>
      </c>
      <c r="E46">
        <v>0</v>
      </c>
      <c r="F46">
        <v>0</v>
      </c>
      <c r="G46">
        <v>0</v>
      </c>
      <c r="H46">
        <v>0</v>
      </c>
    </row>
    <row r="47" spans="1:8" x14ac:dyDescent="0.25">
      <c r="A47" t="s">
        <v>35</v>
      </c>
      <c r="B47" t="s">
        <v>299</v>
      </c>
      <c r="C47">
        <v>0</v>
      </c>
      <c r="E47">
        <v>0</v>
      </c>
      <c r="F47">
        <v>0</v>
      </c>
      <c r="G47">
        <v>0</v>
      </c>
      <c r="H47">
        <v>0</v>
      </c>
    </row>
    <row r="48" spans="1:8" x14ac:dyDescent="0.25">
      <c r="A48" t="s">
        <v>35</v>
      </c>
      <c r="B48" t="s">
        <v>300</v>
      </c>
      <c r="C48">
        <v>258871.4</v>
      </c>
      <c r="E48">
        <v>0</v>
      </c>
      <c r="F48">
        <v>0</v>
      </c>
      <c r="G48">
        <v>0</v>
      </c>
      <c r="H48">
        <v>0</v>
      </c>
    </row>
    <row r="49" spans="1:8" x14ac:dyDescent="0.25">
      <c r="A49" t="s">
        <v>35</v>
      </c>
      <c r="B49" t="s">
        <v>301</v>
      </c>
      <c r="C49">
        <v>0</v>
      </c>
      <c r="E49">
        <v>0</v>
      </c>
      <c r="F49">
        <v>0</v>
      </c>
      <c r="G49">
        <v>0</v>
      </c>
      <c r="H49">
        <v>0</v>
      </c>
    </row>
    <row r="50" spans="1:8" x14ac:dyDescent="0.25">
      <c r="A50" t="s">
        <v>35</v>
      </c>
      <c r="B50" t="s">
        <v>261</v>
      </c>
      <c r="C50">
        <v>0</v>
      </c>
      <c r="E50">
        <v>0</v>
      </c>
      <c r="F50">
        <v>0</v>
      </c>
      <c r="G50">
        <v>0</v>
      </c>
      <c r="H50">
        <v>0</v>
      </c>
    </row>
    <row r="51" spans="1:8" x14ac:dyDescent="0.25">
      <c r="A51" t="s">
        <v>36</v>
      </c>
      <c r="B51" t="s">
        <v>296</v>
      </c>
      <c r="C51">
        <v>819655.56</v>
      </c>
      <c r="E51">
        <v>0</v>
      </c>
      <c r="F51">
        <v>0</v>
      </c>
      <c r="G51">
        <v>0</v>
      </c>
      <c r="H51">
        <v>0</v>
      </c>
    </row>
    <row r="52" spans="1:8" x14ac:dyDescent="0.25">
      <c r="A52" t="s">
        <v>36</v>
      </c>
      <c r="B52" t="s">
        <v>297</v>
      </c>
      <c r="C52">
        <v>-11560</v>
      </c>
      <c r="E52">
        <v>0</v>
      </c>
      <c r="F52">
        <v>0</v>
      </c>
      <c r="G52">
        <v>0</v>
      </c>
      <c r="H52">
        <v>0</v>
      </c>
    </row>
    <row r="53" spans="1:8" x14ac:dyDescent="0.25">
      <c r="A53" t="s">
        <v>36</v>
      </c>
      <c r="B53" t="s">
        <v>298</v>
      </c>
      <c r="C53">
        <v>0</v>
      </c>
      <c r="E53">
        <v>0</v>
      </c>
      <c r="F53">
        <v>0</v>
      </c>
      <c r="G53">
        <v>0</v>
      </c>
      <c r="H53">
        <v>0</v>
      </c>
    </row>
    <row r="54" spans="1:8" x14ac:dyDescent="0.25">
      <c r="A54" t="s">
        <v>36</v>
      </c>
      <c r="B54" t="s">
        <v>299</v>
      </c>
      <c r="C54">
        <v>0</v>
      </c>
      <c r="E54">
        <v>0</v>
      </c>
      <c r="F54">
        <v>0</v>
      </c>
      <c r="G54">
        <v>0</v>
      </c>
      <c r="H54">
        <v>0</v>
      </c>
    </row>
    <row r="55" spans="1:8" x14ac:dyDescent="0.25">
      <c r="A55" t="s">
        <v>36</v>
      </c>
      <c r="B55" t="s">
        <v>300</v>
      </c>
      <c r="C55">
        <v>88888.9</v>
      </c>
      <c r="E55">
        <v>0</v>
      </c>
      <c r="F55">
        <v>0</v>
      </c>
      <c r="G55">
        <v>0</v>
      </c>
      <c r="H55">
        <v>0</v>
      </c>
    </row>
    <row r="56" spans="1:8" x14ac:dyDescent="0.25">
      <c r="A56" t="s">
        <v>36</v>
      </c>
      <c r="B56" t="s">
        <v>301</v>
      </c>
      <c r="C56">
        <v>724.96</v>
      </c>
      <c r="E56">
        <v>0</v>
      </c>
      <c r="F56">
        <v>0</v>
      </c>
      <c r="G56">
        <v>0</v>
      </c>
      <c r="H56">
        <v>0</v>
      </c>
    </row>
    <row r="57" spans="1:8" x14ac:dyDescent="0.25">
      <c r="A57" t="s">
        <v>36</v>
      </c>
      <c r="B57" t="s">
        <v>261</v>
      </c>
      <c r="C57">
        <v>1260000</v>
      </c>
      <c r="E57">
        <v>0</v>
      </c>
      <c r="F57">
        <v>0</v>
      </c>
      <c r="G57">
        <v>0</v>
      </c>
      <c r="H57">
        <v>0</v>
      </c>
    </row>
    <row r="58" spans="1:8" x14ac:dyDescent="0.25">
      <c r="A58" t="s">
        <v>37</v>
      </c>
      <c r="B58" t="s">
        <v>296</v>
      </c>
      <c r="C58">
        <v>874238.89</v>
      </c>
      <c r="E58">
        <v>0</v>
      </c>
      <c r="F58">
        <v>0</v>
      </c>
      <c r="G58">
        <v>0</v>
      </c>
      <c r="H58">
        <v>0</v>
      </c>
    </row>
    <row r="59" spans="1:8" x14ac:dyDescent="0.25">
      <c r="A59" t="s">
        <v>37</v>
      </c>
      <c r="B59" t="s">
        <v>297</v>
      </c>
      <c r="C59">
        <v>0</v>
      </c>
      <c r="E59">
        <v>0</v>
      </c>
      <c r="F59">
        <v>0</v>
      </c>
      <c r="G59">
        <v>0</v>
      </c>
      <c r="H59">
        <v>0</v>
      </c>
    </row>
    <row r="60" spans="1:8" x14ac:dyDescent="0.25">
      <c r="A60" t="s">
        <v>37</v>
      </c>
      <c r="B60" t="s">
        <v>298</v>
      </c>
      <c r="C60">
        <v>0</v>
      </c>
      <c r="E60">
        <v>0</v>
      </c>
      <c r="F60">
        <v>0</v>
      </c>
      <c r="G60">
        <v>0</v>
      </c>
      <c r="H60">
        <v>0</v>
      </c>
    </row>
    <row r="61" spans="1:8" x14ac:dyDescent="0.25">
      <c r="A61" t="s">
        <v>37</v>
      </c>
      <c r="B61" t="s">
        <v>299</v>
      </c>
      <c r="C61">
        <v>0</v>
      </c>
      <c r="E61">
        <v>0</v>
      </c>
      <c r="F61">
        <v>0</v>
      </c>
      <c r="G61">
        <v>0</v>
      </c>
      <c r="H61">
        <v>0</v>
      </c>
    </row>
    <row r="62" spans="1:8" x14ac:dyDescent="0.25">
      <c r="A62" t="s">
        <v>37</v>
      </c>
      <c r="B62" t="s">
        <v>300</v>
      </c>
      <c r="C62">
        <v>88888.9</v>
      </c>
      <c r="E62">
        <v>0</v>
      </c>
      <c r="F62">
        <v>0</v>
      </c>
      <c r="G62">
        <v>0</v>
      </c>
      <c r="H62">
        <v>0</v>
      </c>
    </row>
    <row r="63" spans="1:8" x14ac:dyDescent="0.25">
      <c r="A63" t="s">
        <v>37</v>
      </c>
      <c r="B63" t="s">
        <v>301</v>
      </c>
      <c r="C63">
        <v>534.46</v>
      </c>
      <c r="E63">
        <v>0</v>
      </c>
      <c r="F63">
        <v>0</v>
      </c>
      <c r="G63">
        <v>0</v>
      </c>
      <c r="H63">
        <v>0</v>
      </c>
    </row>
    <row r="64" spans="1:8" x14ac:dyDescent="0.25">
      <c r="A64" t="s">
        <v>37</v>
      </c>
      <c r="B64" t="s">
        <v>261</v>
      </c>
      <c r="C64">
        <v>52815000</v>
      </c>
      <c r="E64">
        <v>0</v>
      </c>
      <c r="F64">
        <v>0</v>
      </c>
      <c r="G64">
        <v>0</v>
      </c>
      <c r="H64">
        <v>0</v>
      </c>
    </row>
    <row r="65" spans="1:8" x14ac:dyDescent="0.25">
      <c r="A65" t="s">
        <v>38</v>
      </c>
      <c r="B65" t="s">
        <v>296</v>
      </c>
      <c r="C65">
        <v>819500</v>
      </c>
      <c r="E65">
        <v>0</v>
      </c>
      <c r="F65">
        <v>0</v>
      </c>
      <c r="G65">
        <v>0</v>
      </c>
      <c r="H65">
        <v>0</v>
      </c>
    </row>
    <row r="66" spans="1:8" x14ac:dyDescent="0.25">
      <c r="A66" t="s">
        <v>38</v>
      </c>
      <c r="B66" t="s">
        <v>297</v>
      </c>
      <c r="C66">
        <v>0</v>
      </c>
      <c r="E66">
        <v>0</v>
      </c>
      <c r="F66">
        <v>0</v>
      </c>
      <c r="G66">
        <v>0</v>
      </c>
      <c r="H66">
        <v>0</v>
      </c>
    </row>
    <row r="67" spans="1:8" x14ac:dyDescent="0.25">
      <c r="A67" t="s">
        <v>38</v>
      </c>
      <c r="B67" t="s">
        <v>298</v>
      </c>
      <c r="C67">
        <v>0</v>
      </c>
      <c r="E67">
        <v>0</v>
      </c>
      <c r="F67">
        <v>0</v>
      </c>
      <c r="G67">
        <v>0</v>
      </c>
      <c r="H67">
        <v>0</v>
      </c>
    </row>
    <row r="68" spans="1:8" x14ac:dyDescent="0.25">
      <c r="A68" t="s">
        <v>38</v>
      </c>
      <c r="B68" t="s">
        <v>299</v>
      </c>
      <c r="C68">
        <v>0</v>
      </c>
      <c r="E68">
        <v>0</v>
      </c>
      <c r="F68">
        <v>0</v>
      </c>
      <c r="G68">
        <v>0</v>
      </c>
      <c r="H68">
        <v>0</v>
      </c>
    </row>
    <row r="69" spans="1:8" x14ac:dyDescent="0.25">
      <c r="A69" t="s">
        <v>38</v>
      </c>
      <c r="B69" t="s">
        <v>300</v>
      </c>
      <c r="C69">
        <v>88888.9</v>
      </c>
      <c r="E69">
        <v>0</v>
      </c>
      <c r="F69">
        <v>0</v>
      </c>
      <c r="G69">
        <v>0</v>
      </c>
      <c r="H69">
        <v>0</v>
      </c>
    </row>
    <row r="70" spans="1:8" x14ac:dyDescent="0.25">
      <c r="A70" t="s">
        <v>38</v>
      </c>
      <c r="B70" t="s">
        <v>301</v>
      </c>
      <c r="C70">
        <v>0</v>
      </c>
      <c r="E70">
        <v>0</v>
      </c>
      <c r="F70">
        <v>0</v>
      </c>
      <c r="G70">
        <v>0</v>
      </c>
      <c r="H70">
        <v>0</v>
      </c>
    </row>
    <row r="71" spans="1:8" x14ac:dyDescent="0.25">
      <c r="A71" t="s">
        <v>38</v>
      </c>
      <c r="B71" t="s">
        <v>261</v>
      </c>
      <c r="C71">
        <v>28470000</v>
      </c>
      <c r="E71">
        <v>0</v>
      </c>
      <c r="F71">
        <v>0</v>
      </c>
      <c r="G71">
        <v>0</v>
      </c>
      <c r="H71">
        <v>0</v>
      </c>
    </row>
    <row r="72" spans="1:8" x14ac:dyDescent="0.25">
      <c r="A72" t="s">
        <v>39</v>
      </c>
      <c r="B72" t="s">
        <v>296</v>
      </c>
      <c r="C72">
        <v>825611.11</v>
      </c>
      <c r="E72">
        <v>0</v>
      </c>
      <c r="F72">
        <v>0</v>
      </c>
      <c r="G72">
        <v>0</v>
      </c>
      <c r="H72">
        <v>0</v>
      </c>
    </row>
    <row r="73" spans="1:8" x14ac:dyDescent="0.25">
      <c r="A73" t="s">
        <v>39</v>
      </c>
      <c r="B73" t="s">
        <v>297</v>
      </c>
      <c r="C73">
        <v>0</v>
      </c>
      <c r="E73">
        <v>0</v>
      </c>
      <c r="F73">
        <v>0</v>
      </c>
      <c r="G73">
        <v>0</v>
      </c>
      <c r="H73">
        <v>0</v>
      </c>
    </row>
    <row r="74" spans="1:8" x14ac:dyDescent="0.25">
      <c r="A74" t="s">
        <v>39</v>
      </c>
      <c r="B74" t="s">
        <v>298</v>
      </c>
      <c r="C74">
        <v>0</v>
      </c>
      <c r="E74">
        <v>0</v>
      </c>
      <c r="F74">
        <v>0</v>
      </c>
      <c r="G74">
        <v>0</v>
      </c>
      <c r="H74">
        <v>0</v>
      </c>
    </row>
    <row r="75" spans="1:8" x14ac:dyDescent="0.25">
      <c r="A75" t="s">
        <v>39</v>
      </c>
      <c r="B75" t="s">
        <v>299</v>
      </c>
      <c r="C75">
        <v>0</v>
      </c>
      <c r="E75">
        <v>0</v>
      </c>
      <c r="F75">
        <v>0</v>
      </c>
      <c r="G75">
        <v>0</v>
      </c>
      <c r="H75">
        <v>0</v>
      </c>
    </row>
    <row r="76" spans="1:8" x14ac:dyDescent="0.25">
      <c r="A76" t="s">
        <v>39</v>
      </c>
      <c r="B76" t="s">
        <v>300</v>
      </c>
      <c r="C76">
        <v>88368.079999999987</v>
      </c>
      <c r="E76">
        <v>0</v>
      </c>
      <c r="F76">
        <v>0</v>
      </c>
      <c r="G76">
        <v>0</v>
      </c>
      <c r="H76">
        <v>0</v>
      </c>
    </row>
    <row r="77" spans="1:8" x14ac:dyDescent="0.25">
      <c r="A77" t="s">
        <v>39</v>
      </c>
      <c r="B77" t="s">
        <v>301</v>
      </c>
      <c r="C77">
        <v>2886</v>
      </c>
      <c r="E77">
        <v>0</v>
      </c>
      <c r="F77">
        <v>0</v>
      </c>
      <c r="G77">
        <v>0</v>
      </c>
      <c r="H77">
        <v>0</v>
      </c>
    </row>
    <row r="78" spans="1:8" x14ac:dyDescent="0.25">
      <c r="A78" t="s">
        <v>39</v>
      </c>
      <c r="B78" t="s">
        <v>261</v>
      </c>
      <c r="C78">
        <v>52455000</v>
      </c>
      <c r="E78">
        <v>0</v>
      </c>
      <c r="F78">
        <v>0</v>
      </c>
      <c r="G78">
        <v>0</v>
      </c>
      <c r="H78">
        <v>0</v>
      </c>
    </row>
    <row r="79" spans="1:8" x14ac:dyDescent="0.25">
      <c r="A79" t="s">
        <v>40</v>
      </c>
      <c r="B79" t="s">
        <v>296</v>
      </c>
      <c r="C79">
        <v>818766.67</v>
      </c>
      <c r="E79">
        <v>0</v>
      </c>
      <c r="F79">
        <v>0</v>
      </c>
      <c r="G79">
        <v>0</v>
      </c>
      <c r="H79">
        <v>0</v>
      </c>
    </row>
    <row r="80" spans="1:8" x14ac:dyDescent="0.25">
      <c r="A80" t="s">
        <v>40</v>
      </c>
      <c r="B80" t="s">
        <v>297</v>
      </c>
      <c r="C80">
        <v>0</v>
      </c>
      <c r="E80">
        <v>0</v>
      </c>
      <c r="F80">
        <v>0</v>
      </c>
      <c r="G80">
        <v>0</v>
      </c>
      <c r="H80">
        <v>0</v>
      </c>
    </row>
    <row r="81" spans="1:8" x14ac:dyDescent="0.25">
      <c r="A81" t="s">
        <v>40</v>
      </c>
      <c r="B81" t="s">
        <v>298</v>
      </c>
      <c r="C81">
        <v>0</v>
      </c>
      <c r="E81">
        <v>0</v>
      </c>
      <c r="F81">
        <v>0</v>
      </c>
      <c r="G81">
        <v>0</v>
      </c>
      <c r="H81">
        <v>0</v>
      </c>
    </row>
    <row r="82" spans="1:8" x14ac:dyDescent="0.25">
      <c r="A82" t="s">
        <v>40</v>
      </c>
      <c r="B82" t="s">
        <v>299</v>
      </c>
      <c r="C82">
        <v>0</v>
      </c>
      <c r="E82">
        <v>0</v>
      </c>
      <c r="F82">
        <v>0</v>
      </c>
      <c r="G82">
        <v>0</v>
      </c>
      <c r="H82">
        <v>0</v>
      </c>
    </row>
    <row r="83" spans="1:8" x14ac:dyDescent="0.25">
      <c r="A83" t="s">
        <v>40</v>
      </c>
      <c r="B83" t="s">
        <v>300</v>
      </c>
      <c r="C83">
        <v>89807.26</v>
      </c>
      <c r="E83">
        <v>0</v>
      </c>
      <c r="F83">
        <v>0</v>
      </c>
      <c r="G83">
        <v>0</v>
      </c>
      <c r="H83">
        <v>0</v>
      </c>
    </row>
    <row r="84" spans="1:8" x14ac:dyDescent="0.25">
      <c r="A84" t="s">
        <v>40</v>
      </c>
      <c r="B84" t="s">
        <v>301</v>
      </c>
      <c r="C84">
        <v>180</v>
      </c>
      <c r="E84">
        <v>0</v>
      </c>
      <c r="F84">
        <v>0</v>
      </c>
      <c r="G84">
        <v>0</v>
      </c>
      <c r="H84">
        <v>0</v>
      </c>
    </row>
    <row r="85" spans="1:8" x14ac:dyDescent="0.25">
      <c r="A85" t="s">
        <v>40</v>
      </c>
      <c r="B85" t="s">
        <v>261</v>
      </c>
      <c r="C85">
        <v>0</v>
      </c>
      <c r="E85">
        <v>0</v>
      </c>
      <c r="F85">
        <v>0</v>
      </c>
      <c r="G85">
        <v>0</v>
      </c>
      <c r="H85">
        <v>0</v>
      </c>
    </row>
    <row r="86" spans="1:8" x14ac:dyDescent="0.25">
      <c r="A86" t="s">
        <v>41</v>
      </c>
      <c r="B86" t="s">
        <v>329</v>
      </c>
      <c r="C86">
        <v>811761.3</v>
      </c>
      <c r="D86">
        <v>796200</v>
      </c>
      <c r="E86">
        <v>0</v>
      </c>
      <c r="F86">
        <v>0</v>
      </c>
      <c r="G86">
        <v>0</v>
      </c>
      <c r="H86">
        <v>0</v>
      </c>
    </row>
    <row r="87" spans="1:8" x14ac:dyDescent="0.25">
      <c r="A87" t="s">
        <v>41</v>
      </c>
      <c r="B87" t="s">
        <v>330</v>
      </c>
      <c r="C87">
        <f>29500+556</f>
        <v>30056</v>
      </c>
      <c r="D87">
        <v>31000</v>
      </c>
    </row>
    <row r="88" spans="1:8" x14ac:dyDescent="0.25">
      <c r="A88" t="s">
        <v>41</v>
      </c>
      <c r="B88" t="s">
        <v>297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</row>
    <row r="89" spans="1:8" x14ac:dyDescent="0.25">
      <c r="A89" t="s">
        <v>41</v>
      </c>
      <c r="B89" t="s">
        <v>298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 x14ac:dyDescent="0.25">
      <c r="A90" t="s">
        <v>41</v>
      </c>
      <c r="B90" t="s">
        <v>331</v>
      </c>
      <c r="C90">
        <f>89023.94+2413</f>
        <v>91436.94</v>
      </c>
      <c r="D90">
        <v>108888.9</v>
      </c>
      <c r="E90">
        <v>0</v>
      </c>
      <c r="F90">
        <v>0</v>
      </c>
      <c r="G90">
        <v>0</v>
      </c>
      <c r="H90">
        <v>0</v>
      </c>
    </row>
    <row r="91" spans="1:8" x14ac:dyDescent="0.25">
      <c r="A91" t="s">
        <v>41</v>
      </c>
      <c r="B91" t="s">
        <v>300</v>
      </c>
      <c r="E91">
        <v>0</v>
      </c>
      <c r="F91">
        <v>0</v>
      </c>
      <c r="G91">
        <v>0</v>
      </c>
      <c r="H91">
        <v>0</v>
      </c>
    </row>
    <row r="92" spans="1:8" x14ac:dyDescent="0.25">
      <c r="A92" t="s">
        <v>41</v>
      </c>
      <c r="B92" t="s">
        <v>301</v>
      </c>
      <c r="E92">
        <v>0</v>
      </c>
      <c r="F92">
        <v>0</v>
      </c>
      <c r="G92">
        <v>0</v>
      </c>
      <c r="H92">
        <v>0</v>
      </c>
    </row>
    <row r="93" spans="1:8" x14ac:dyDescent="0.25">
      <c r="A93" t="s">
        <v>41</v>
      </c>
      <c r="B93" t="s">
        <v>261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4"/>
  <sheetViews>
    <sheetView workbookViewId="0"/>
  </sheetViews>
  <sheetFormatPr defaultRowHeight="15" x14ac:dyDescent="0.25"/>
  <sheetData>
    <row r="1" spans="1:9" x14ac:dyDescent="0.25">
      <c r="A1" s="1" t="s">
        <v>0</v>
      </c>
      <c r="B1" s="1" t="s">
        <v>50</v>
      </c>
      <c r="C1" s="1" t="s">
        <v>57</v>
      </c>
      <c r="D1" s="1" t="s">
        <v>262</v>
      </c>
      <c r="E1" s="1" t="s">
        <v>27</v>
      </c>
      <c r="F1" s="1" t="s">
        <v>28</v>
      </c>
      <c r="G1" s="1" t="s">
        <v>53</v>
      </c>
      <c r="H1" s="1" t="s">
        <v>302</v>
      </c>
      <c r="I1" s="1" t="s">
        <v>266</v>
      </c>
    </row>
    <row r="2" spans="1:9" x14ac:dyDescent="0.25">
      <c r="A2" t="s">
        <v>29</v>
      </c>
      <c r="B2">
        <v>25447329.809999999</v>
      </c>
      <c r="D2">
        <v>20394821.149999999</v>
      </c>
      <c r="E2">
        <v>9951562.4900000021</v>
      </c>
      <c r="G2">
        <v>3232985.5200000019</v>
      </c>
      <c r="H2">
        <v>0</v>
      </c>
      <c r="I2">
        <v>5052508.66</v>
      </c>
    </row>
    <row r="3" spans="1:9" x14ac:dyDescent="0.25">
      <c r="A3" t="s">
        <v>30</v>
      </c>
      <c r="B3">
        <v>26113220.109999999</v>
      </c>
      <c r="D3">
        <v>21340447.629999999</v>
      </c>
      <c r="E3">
        <v>11267071.630000001</v>
      </c>
      <c r="G3">
        <v>4198005.4399999985</v>
      </c>
      <c r="H3">
        <v>0</v>
      </c>
      <c r="I3">
        <v>4772772.4800000004</v>
      </c>
    </row>
    <row r="4" spans="1:9" x14ac:dyDescent="0.25">
      <c r="A4" t="s">
        <v>31</v>
      </c>
      <c r="B4">
        <v>26264263.11999999</v>
      </c>
      <c r="D4">
        <v>21395764.34</v>
      </c>
      <c r="E4">
        <v>10980632.720000001</v>
      </c>
      <c r="G4">
        <v>2739683.5599999949</v>
      </c>
      <c r="H4">
        <v>0</v>
      </c>
      <c r="I4">
        <v>4868498.7799999965</v>
      </c>
    </row>
    <row r="5" spans="1:9" x14ac:dyDescent="0.25">
      <c r="A5" t="s">
        <v>32</v>
      </c>
      <c r="B5">
        <v>26813033.170000002</v>
      </c>
      <c r="D5">
        <v>21924533.09</v>
      </c>
      <c r="E5">
        <v>12059566.26999999</v>
      </c>
      <c r="G5">
        <v>7074220.7099999934</v>
      </c>
      <c r="H5">
        <v>0</v>
      </c>
      <c r="I5">
        <v>4888500.0800000019</v>
      </c>
    </row>
    <row r="6" spans="1:9" x14ac:dyDescent="0.25">
      <c r="A6" t="s">
        <v>33</v>
      </c>
      <c r="B6">
        <v>26736564.210000001</v>
      </c>
      <c r="D6">
        <v>21898090.239999998</v>
      </c>
      <c r="E6">
        <v>11190450.52334339</v>
      </c>
      <c r="G6">
        <v>4567268.1933433888</v>
      </c>
      <c r="H6">
        <v>0</v>
      </c>
      <c r="I6">
        <v>4838473.9699999988</v>
      </c>
    </row>
    <row r="7" spans="1:9" x14ac:dyDescent="0.25">
      <c r="A7" t="s">
        <v>34</v>
      </c>
      <c r="B7">
        <v>26178595.18</v>
      </c>
      <c r="D7">
        <v>21993768.09</v>
      </c>
      <c r="E7">
        <v>11975663.99</v>
      </c>
      <c r="G7">
        <v>4800162.9800000023</v>
      </c>
      <c r="H7">
        <v>0</v>
      </c>
      <c r="I7">
        <v>4184827.09</v>
      </c>
    </row>
    <row r="8" spans="1:9" x14ac:dyDescent="0.25">
      <c r="A8" t="s">
        <v>35</v>
      </c>
      <c r="B8">
        <v>27643427.699999999</v>
      </c>
      <c r="D8">
        <v>22911774.079999998</v>
      </c>
      <c r="E8">
        <v>10392674.960000001</v>
      </c>
      <c r="G8">
        <v>3318782.8999999929</v>
      </c>
      <c r="H8">
        <v>0</v>
      </c>
      <c r="I8">
        <v>4731653.620000001</v>
      </c>
    </row>
    <row r="9" spans="1:9" x14ac:dyDescent="0.25">
      <c r="A9" t="s">
        <v>36</v>
      </c>
      <c r="B9">
        <v>27356236.079999998</v>
      </c>
      <c r="D9">
        <v>22470548.760000002</v>
      </c>
      <c r="E9">
        <v>11822575.609999999</v>
      </c>
      <c r="G9">
        <v>3928525.2351900032</v>
      </c>
      <c r="H9">
        <v>0</v>
      </c>
      <c r="I9">
        <v>4885687.32</v>
      </c>
    </row>
    <row r="10" spans="1:9" x14ac:dyDescent="0.25">
      <c r="A10" t="s">
        <v>37</v>
      </c>
      <c r="B10">
        <v>26941579.350000001</v>
      </c>
      <c r="D10">
        <v>21925736.289999999</v>
      </c>
      <c r="E10">
        <v>11253973.75</v>
      </c>
      <c r="G10">
        <v>3568403.0399999968</v>
      </c>
      <c r="H10">
        <v>0</v>
      </c>
      <c r="I10">
        <v>5015843.0600000024</v>
      </c>
    </row>
    <row r="11" spans="1:9" x14ac:dyDescent="0.25">
      <c r="A11" t="s">
        <v>38</v>
      </c>
      <c r="B11">
        <v>26995058.561892491</v>
      </c>
      <c r="D11">
        <v>21931141.701892491</v>
      </c>
      <c r="E11">
        <v>11456168.96764249</v>
      </c>
      <c r="G11">
        <v>6550708.3376424937</v>
      </c>
      <c r="H11">
        <v>0</v>
      </c>
      <c r="I11">
        <v>5063916.8599999994</v>
      </c>
    </row>
    <row r="12" spans="1:9" x14ac:dyDescent="0.25">
      <c r="A12" t="s">
        <v>39</v>
      </c>
      <c r="B12">
        <v>27244862.09</v>
      </c>
      <c r="D12">
        <v>16256482.710000001</v>
      </c>
      <c r="E12">
        <v>14080874.28391166</v>
      </c>
      <c r="G12">
        <v>6770120.6439116644</v>
      </c>
      <c r="H12">
        <v>0</v>
      </c>
      <c r="I12">
        <v>10988379.380000001</v>
      </c>
    </row>
    <row r="13" spans="1:9" x14ac:dyDescent="0.25">
      <c r="A13" t="s">
        <v>40</v>
      </c>
      <c r="B13">
        <v>29642976.66</v>
      </c>
      <c r="D13">
        <v>25039190.93</v>
      </c>
      <c r="E13">
        <v>10696196.07</v>
      </c>
      <c r="G13">
        <v>2715600.4200000009</v>
      </c>
      <c r="H13">
        <v>0</v>
      </c>
      <c r="I13">
        <v>4603785.7300000004</v>
      </c>
    </row>
    <row r="14" spans="1:9" x14ac:dyDescent="0.25">
      <c r="A14" t="s">
        <v>41</v>
      </c>
      <c r="B14">
        <v>28581792.039999999</v>
      </c>
      <c r="C14">
        <v>28894159.209127799</v>
      </c>
      <c r="D14">
        <v>24025714.50999999</v>
      </c>
      <c r="E14">
        <v>12554599.36999999</v>
      </c>
      <c r="G14">
        <v>4614266.8199999919</v>
      </c>
      <c r="H14">
        <v>0</v>
      </c>
      <c r="I14">
        <v>4556077.5300000012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2"/>
  <sheetViews>
    <sheetView workbookViewId="0"/>
  </sheetViews>
  <sheetFormatPr defaultRowHeight="15" x14ac:dyDescent="0.25"/>
  <sheetData>
    <row r="1" spans="1:10" x14ac:dyDescent="0.25">
      <c r="A1" s="1" t="s">
        <v>0</v>
      </c>
      <c r="B1" s="1" t="s">
        <v>303</v>
      </c>
      <c r="C1" s="1" t="s">
        <v>304</v>
      </c>
      <c r="D1" s="1" t="s">
        <v>305</v>
      </c>
      <c r="E1" s="1" t="s">
        <v>306</v>
      </c>
      <c r="F1" s="1" t="s">
        <v>307</v>
      </c>
      <c r="G1" s="1" t="s">
        <v>308</v>
      </c>
      <c r="H1" s="1" t="s">
        <v>309</v>
      </c>
      <c r="I1" s="1" t="s">
        <v>310</v>
      </c>
      <c r="J1" s="1" t="s">
        <v>311</v>
      </c>
    </row>
    <row r="2" spans="1:10" x14ac:dyDescent="0.25">
      <c r="A2" t="s">
        <v>29</v>
      </c>
      <c r="B2">
        <v>363.7</v>
      </c>
      <c r="C2">
        <v>1792</v>
      </c>
      <c r="D2">
        <v>1605</v>
      </c>
      <c r="E2">
        <v>911</v>
      </c>
      <c r="F2">
        <v>708</v>
      </c>
      <c r="G2">
        <v>0</v>
      </c>
      <c r="H2" t="s">
        <v>74</v>
      </c>
      <c r="I2">
        <v>1792</v>
      </c>
      <c r="J2">
        <v>1605</v>
      </c>
    </row>
    <row r="3" spans="1:10" x14ac:dyDescent="0.25">
      <c r="A3" t="s">
        <v>30</v>
      </c>
      <c r="B3">
        <v>367.21</v>
      </c>
      <c r="C3">
        <v>1853</v>
      </c>
      <c r="D3">
        <v>1605</v>
      </c>
      <c r="E3">
        <v>1209</v>
      </c>
      <c r="F3">
        <v>713</v>
      </c>
      <c r="G3">
        <v>0</v>
      </c>
      <c r="H3" t="s">
        <v>74</v>
      </c>
      <c r="I3">
        <v>1853</v>
      </c>
      <c r="J3">
        <v>1605</v>
      </c>
    </row>
    <row r="4" spans="1:10" x14ac:dyDescent="0.25">
      <c r="A4" t="s">
        <v>31</v>
      </c>
      <c r="B4">
        <v>370.37</v>
      </c>
      <c r="C4">
        <v>1591</v>
      </c>
      <c r="D4">
        <v>1702</v>
      </c>
      <c r="E4">
        <v>737</v>
      </c>
      <c r="F4">
        <v>718</v>
      </c>
      <c r="G4">
        <v>0</v>
      </c>
      <c r="H4" t="s">
        <v>74</v>
      </c>
      <c r="I4">
        <v>1591</v>
      </c>
      <c r="J4">
        <v>1702</v>
      </c>
    </row>
    <row r="5" spans="1:10" x14ac:dyDescent="0.25">
      <c r="A5" t="s">
        <v>32</v>
      </c>
      <c r="B5">
        <v>368.66</v>
      </c>
      <c r="C5">
        <v>1959</v>
      </c>
      <c r="D5">
        <v>1732</v>
      </c>
      <c r="E5">
        <v>863</v>
      </c>
      <c r="F5">
        <v>725</v>
      </c>
      <c r="G5">
        <v>0</v>
      </c>
      <c r="H5" t="s">
        <v>74</v>
      </c>
      <c r="I5">
        <v>1959</v>
      </c>
      <c r="J5">
        <v>1732</v>
      </c>
    </row>
    <row r="6" spans="1:10" x14ac:dyDescent="0.25">
      <c r="A6" t="s">
        <v>33</v>
      </c>
      <c r="B6">
        <v>363.48</v>
      </c>
      <c r="C6">
        <v>1985</v>
      </c>
      <c r="D6">
        <v>1869</v>
      </c>
      <c r="E6">
        <v>782</v>
      </c>
      <c r="F6">
        <v>731</v>
      </c>
      <c r="G6">
        <v>0</v>
      </c>
      <c r="H6" t="s">
        <v>74</v>
      </c>
      <c r="I6">
        <v>1985</v>
      </c>
      <c r="J6">
        <v>1869</v>
      </c>
    </row>
    <row r="7" spans="1:10" x14ac:dyDescent="0.25">
      <c r="A7" t="s">
        <v>34</v>
      </c>
      <c r="B7">
        <v>353.3</v>
      </c>
      <c r="C7">
        <v>1775</v>
      </c>
      <c r="D7">
        <v>1744</v>
      </c>
      <c r="E7">
        <v>893</v>
      </c>
      <c r="F7">
        <v>739</v>
      </c>
      <c r="G7">
        <v>0</v>
      </c>
      <c r="H7" t="s">
        <v>74</v>
      </c>
      <c r="I7">
        <v>1775</v>
      </c>
      <c r="J7">
        <v>1744</v>
      </c>
    </row>
    <row r="8" spans="1:10" x14ac:dyDescent="0.25">
      <c r="A8" t="s">
        <v>35</v>
      </c>
      <c r="B8">
        <v>370.57</v>
      </c>
      <c r="C8">
        <v>1624</v>
      </c>
      <c r="D8">
        <v>1615</v>
      </c>
      <c r="E8">
        <v>772</v>
      </c>
      <c r="F8">
        <v>772</v>
      </c>
      <c r="G8">
        <v>0</v>
      </c>
      <c r="H8" t="s">
        <v>74</v>
      </c>
      <c r="I8">
        <v>1624</v>
      </c>
      <c r="J8">
        <v>1615</v>
      </c>
    </row>
    <row r="9" spans="1:10" x14ac:dyDescent="0.25">
      <c r="A9" t="s">
        <v>36</v>
      </c>
      <c r="B9">
        <v>364.3</v>
      </c>
      <c r="C9">
        <v>1662</v>
      </c>
      <c r="D9">
        <v>1853</v>
      </c>
      <c r="E9">
        <v>847</v>
      </c>
      <c r="F9">
        <v>850</v>
      </c>
      <c r="G9">
        <v>0</v>
      </c>
      <c r="H9" t="s">
        <v>74</v>
      </c>
      <c r="I9">
        <v>1662</v>
      </c>
      <c r="J9">
        <v>1853</v>
      </c>
    </row>
    <row r="10" spans="1:10" x14ac:dyDescent="0.25">
      <c r="A10" t="s">
        <v>37</v>
      </c>
      <c r="B10">
        <v>349.58</v>
      </c>
      <c r="C10">
        <v>1899</v>
      </c>
      <c r="D10">
        <v>1955</v>
      </c>
      <c r="E10">
        <v>681</v>
      </c>
      <c r="F10">
        <v>850</v>
      </c>
      <c r="G10">
        <v>0</v>
      </c>
      <c r="H10" t="s">
        <v>74</v>
      </c>
      <c r="I10">
        <v>1899</v>
      </c>
      <c r="J10">
        <v>1955</v>
      </c>
    </row>
    <row r="11" spans="1:10" x14ac:dyDescent="0.25">
      <c r="A11" t="s">
        <v>38</v>
      </c>
      <c r="B11">
        <v>358.18</v>
      </c>
      <c r="C11">
        <v>1998</v>
      </c>
      <c r="D11">
        <v>1738</v>
      </c>
      <c r="E11">
        <v>512</v>
      </c>
      <c r="F11">
        <v>900</v>
      </c>
      <c r="G11">
        <v>0</v>
      </c>
      <c r="H11" t="s">
        <v>74</v>
      </c>
      <c r="I11">
        <v>1998</v>
      </c>
      <c r="J11">
        <v>1738</v>
      </c>
    </row>
    <row r="12" spans="1:10" x14ac:dyDescent="0.25">
      <c r="A12" t="s">
        <v>39</v>
      </c>
      <c r="B12">
        <v>348.56</v>
      </c>
      <c r="C12">
        <v>1927</v>
      </c>
      <c r="D12">
        <v>1605</v>
      </c>
      <c r="E12">
        <v>771</v>
      </c>
      <c r="F12">
        <v>900</v>
      </c>
      <c r="G12">
        <v>0</v>
      </c>
      <c r="H12" t="s">
        <v>74</v>
      </c>
      <c r="I12">
        <v>1927</v>
      </c>
      <c r="J12">
        <v>1605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C14"/>
  <sheetViews>
    <sheetView workbookViewId="0">
      <selection activeCell="K14" sqref="K14"/>
    </sheetView>
  </sheetViews>
  <sheetFormatPr defaultRowHeight="15" x14ac:dyDescent="0.25"/>
  <cols>
    <col min="2" max="2" width="21.7109375" bestFit="1" customWidth="1"/>
    <col min="3" max="3" width="26.7109375" bestFit="1" customWidth="1"/>
    <col min="4" max="4" width="22" bestFit="1" customWidth="1"/>
    <col min="5" max="5" width="27" bestFit="1" customWidth="1"/>
    <col min="6" max="6" width="19.7109375" bestFit="1" customWidth="1"/>
    <col min="7" max="7" width="24.7109375" bestFit="1" customWidth="1"/>
    <col min="8" max="8" width="20" bestFit="1" customWidth="1"/>
    <col min="9" max="9" width="25" bestFit="1" customWidth="1"/>
    <col min="10" max="10" width="12" bestFit="1" customWidth="1"/>
    <col min="11" max="11" width="14.5703125" bestFit="1" customWidth="1"/>
    <col min="12" max="12" width="12" bestFit="1" customWidth="1"/>
    <col min="13" max="13" width="14.85546875" bestFit="1" customWidth="1"/>
    <col min="14" max="14" width="12.28515625" bestFit="1" customWidth="1"/>
    <col min="15" max="15" width="17.42578125" bestFit="1" customWidth="1"/>
    <col min="16" max="16" width="12.5703125" bestFit="1" customWidth="1"/>
    <col min="17" max="17" width="17.7109375" bestFit="1" customWidth="1"/>
    <col min="18" max="18" width="11.7109375" bestFit="1" customWidth="1"/>
    <col min="19" max="19" width="16.140625" bestFit="1" customWidth="1"/>
    <col min="20" max="20" width="11.42578125" bestFit="1" customWidth="1"/>
    <col min="21" max="21" width="16.42578125" bestFit="1" customWidth="1"/>
    <col min="22" max="22" width="12" bestFit="1" customWidth="1"/>
    <col min="23" max="23" width="14.7109375" bestFit="1" customWidth="1"/>
    <col min="24" max="24" width="12" bestFit="1" customWidth="1"/>
    <col min="25" max="25" width="15" bestFit="1" customWidth="1"/>
    <col min="26" max="26" width="12" bestFit="1" customWidth="1"/>
    <col min="27" max="27" width="16.140625" bestFit="1" customWidth="1"/>
    <col min="28" max="28" width="12" bestFit="1" customWidth="1"/>
    <col min="29" max="29" width="12.140625" bestFit="1" customWidth="1"/>
  </cols>
  <sheetData>
    <row r="1" spans="1:2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29</v>
      </c>
      <c r="B2">
        <v>92379176.600000024</v>
      </c>
      <c r="C2">
        <v>0</v>
      </c>
      <c r="D2">
        <v>14010859.5</v>
      </c>
      <c r="E2">
        <v>0</v>
      </c>
      <c r="F2">
        <v>44748481.109999999</v>
      </c>
      <c r="G2">
        <v>0</v>
      </c>
      <c r="H2">
        <v>2993618.4900000049</v>
      </c>
      <c r="I2">
        <v>0</v>
      </c>
      <c r="J2">
        <v>938594.01</v>
      </c>
      <c r="K2">
        <v>0</v>
      </c>
      <c r="L2">
        <v>217680.38</v>
      </c>
      <c r="M2">
        <v>0</v>
      </c>
      <c r="N2">
        <v>25447329.809999999</v>
      </c>
      <c r="O2">
        <v>0</v>
      </c>
      <c r="P2">
        <v>5052508.66</v>
      </c>
      <c r="Q2">
        <v>0</v>
      </c>
      <c r="R2">
        <v>-2000000</v>
      </c>
      <c r="S2">
        <v>0</v>
      </c>
      <c r="T2">
        <v>-1834298</v>
      </c>
      <c r="U2">
        <v>0</v>
      </c>
      <c r="V2">
        <v>161513581.53</v>
      </c>
      <c r="W2">
        <v>0</v>
      </c>
      <c r="X2">
        <v>20440369.030000001</v>
      </c>
      <c r="Y2">
        <v>0</v>
      </c>
      <c r="Z2">
        <v>70534458.909999996</v>
      </c>
      <c r="AA2">
        <v>0</v>
      </c>
      <c r="AB2">
        <v>70625668.580000043</v>
      </c>
      <c r="AC2">
        <v>0</v>
      </c>
    </row>
    <row r="3" spans="1:29" x14ac:dyDescent="0.25">
      <c r="A3" t="s">
        <v>30</v>
      </c>
      <c r="B3">
        <v>91824201.559999973</v>
      </c>
      <c r="C3">
        <v>0</v>
      </c>
      <c r="D3">
        <v>14495304.210000001</v>
      </c>
      <c r="E3">
        <v>0</v>
      </c>
      <c r="F3">
        <v>47522974.82</v>
      </c>
      <c r="G3">
        <v>0</v>
      </c>
      <c r="H3">
        <v>3677532.3200000031</v>
      </c>
      <c r="I3">
        <v>0</v>
      </c>
      <c r="J3">
        <v>1487994.94</v>
      </c>
      <c r="K3">
        <v>0</v>
      </c>
      <c r="L3">
        <v>567680.38</v>
      </c>
      <c r="M3">
        <v>0</v>
      </c>
      <c r="N3">
        <v>26113220.109999999</v>
      </c>
      <c r="O3">
        <v>0</v>
      </c>
      <c r="P3">
        <v>4772772.4800000004</v>
      </c>
      <c r="Q3">
        <v>0</v>
      </c>
      <c r="R3">
        <v>-2760275.319999963</v>
      </c>
      <c r="S3">
        <v>0</v>
      </c>
      <c r="T3">
        <v>-2007753</v>
      </c>
      <c r="U3">
        <v>0</v>
      </c>
      <c r="V3">
        <v>164188116.11000001</v>
      </c>
      <c r="W3">
        <v>0</v>
      </c>
      <c r="X3">
        <v>21505536.390000001</v>
      </c>
      <c r="Y3">
        <v>0</v>
      </c>
      <c r="Z3">
        <v>75810568.884964034</v>
      </c>
      <c r="AA3">
        <v>0</v>
      </c>
      <c r="AB3">
        <v>66878419.695035979</v>
      </c>
      <c r="AC3">
        <v>0</v>
      </c>
    </row>
    <row r="4" spans="1:29" x14ac:dyDescent="0.25">
      <c r="A4" t="s">
        <v>31</v>
      </c>
      <c r="B4">
        <v>93642493.640000001</v>
      </c>
      <c r="C4">
        <v>0</v>
      </c>
      <c r="D4">
        <v>14320378.369999999</v>
      </c>
      <c r="E4">
        <v>0</v>
      </c>
      <c r="F4">
        <v>46406869.030000001</v>
      </c>
      <c r="G4">
        <v>0</v>
      </c>
      <c r="H4">
        <v>4074876.5</v>
      </c>
      <c r="I4">
        <v>0</v>
      </c>
      <c r="J4">
        <v>849467.6</v>
      </c>
      <c r="K4">
        <v>0</v>
      </c>
      <c r="L4">
        <v>217680.38</v>
      </c>
      <c r="M4">
        <v>0</v>
      </c>
      <c r="N4">
        <v>26264263.11999999</v>
      </c>
      <c r="O4">
        <v>0</v>
      </c>
      <c r="P4">
        <v>4868498.7799999993</v>
      </c>
      <c r="Q4">
        <v>0</v>
      </c>
      <c r="R4">
        <v>-2099197.2700000112</v>
      </c>
      <c r="S4">
        <v>0</v>
      </c>
      <c r="T4">
        <v>-2506000</v>
      </c>
      <c r="U4">
        <v>0</v>
      </c>
      <c r="V4">
        <v>165063896.12</v>
      </c>
      <c r="W4">
        <v>0</v>
      </c>
      <c r="X4">
        <v>20975434.030000001</v>
      </c>
      <c r="Y4">
        <v>0</v>
      </c>
      <c r="Z4">
        <v>61139026.483999997</v>
      </c>
      <c r="AA4">
        <v>0</v>
      </c>
      <c r="AB4">
        <v>82957229.076000005</v>
      </c>
      <c r="AC4">
        <v>0</v>
      </c>
    </row>
    <row r="5" spans="1:29" x14ac:dyDescent="0.25">
      <c r="A5" t="s">
        <v>32</v>
      </c>
      <c r="B5">
        <v>93963109.63000001</v>
      </c>
      <c r="C5">
        <v>0</v>
      </c>
      <c r="D5">
        <v>12750826.02</v>
      </c>
      <c r="E5">
        <v>0</v>
      </c>
      <c r="F5">
        <v>45977305.759999998</v>
      </c>
      <c r="G5">
        <v>0</v>
      </c>
      <c r="H5">
        <v>4168335.9999999991</v>
      </c>
      <c r="I5">
        <v>0</v>
      </c>
      <c r="J5">
        <v>811866.53</v>
      </c>
      <c r="K5">
        <v>0</v>
      </c>
      <c r="L5">
        <v>194375</v>
      </c>
      <c r="M5">
        <v>0</v>
      </c>
      <c r="N5">
        <v>26813033.170000002</v>
      </c>
      <c r="O5">
        <v>0</v>
      </c>
      <c r="P5">
        <v>4888500.08</v>
      </c>
      <c r="Q5">
        <v>0</v>
      </c>
      <c r="R5">
        <v>-2103522.9200000172</v>
      </c>
      <c r="S5">
        <v>0</v>
      </c>
      <c r="T5">
        <v>-1959028</v>
      </c>
      <c r="U5">
        <v>0</v>
      </c>
      <c r="V5">
        <v>165461792.16999999</v>
      </c>
      <c r="W5">
        <v>0</v>
      </c>
      <c r="X5">
        <v>20043009.100000001</v>
      </c>
      <c r="Y5">
        <v>0</v>
      </c>
      <c r="Z5">
        <v>69348866.357404619</v>
      </c>
      <c r="AA5">
        <v>0</v>
      </c>
      <c r="AB5">
        <v>77217920.582595378</v>
      </c>
      <c r="AC5">
        <v>0</v>
      </c>
    </row>
    <row r="6" spans="1:29" x14ac:dyDescent="0.25">
      <c r="A6" t="s">
        <v>33</v>
      </c>
      <c r="B6">
        <v>93227975.170000002</v>
      </c>
      <c r="C6">
        <v>0</v>
      </c>
      <c r="D6">
        <v>14354491.130000001</v>
      </c>
      <c r="E6">
        <v>0</v>
      </c>
      <c r="F6">
        <v>48775626.670000002</v>
      </c>
      <c r="G6">
        <v>0</v>
      </c>
      <c r="H6">
        <v>6465935.4100000001</v>
      </c>
      <c r="I6">
        <v>0</v>
      </c>
      <c r="J6">
        <v>1175208.19</v>
      </c>
      <c r="K6">
        <v>0</v>
      </c>
      <c r="L6">
        <v>194375</v>
      </c>
      <c r="M6">
        <v>0</v>
      </c>
      <c r="N6">
        <v>26736564.210000001</v>
      </c>
      <c r="O6">
        <v>0</v>
      </c>
      <c r="P6">
        <v>4838473.97</v>
      </c>
      <c r="Q6">
        <v>0</v>
      </c>
      <c r="R6">
        <v>-1801235.030000001</v>
      </c>
      <c r="S6">
        <v>0</v>
      </c>
      <c r="T6">
        <v>-1992385</v>
      </c>
      <c r="U6">
        <v>0</v>
      </c>
      <c r="V6">
        <v>168114139.21000001</v>
      </c>
      <c r="W6">
        <v>0</v>
      </c>
      <c r="X6">
        <v>23860890.50999999</v>
      </c>
      <c r="Y6">
        <v>0</v>
      </c>
      <c r="Z6">
        <v>57139294.3366566</v>
      </c>
      <c r="AA6">
        <v>0</v>
      </c>
      <c r="AB6">
        <v>87175279.613343418</v>
      </c>
      <c r="AC6">
        <v>0</v>
      </c>
    </row>
    <row r="7" spans="1:29" x14ac:dyDescent="0.25">
      <c r="A7" t="s">
        <v>34</v>
      </c>
      <c r="B7">
        <v>91329172.190000013</v>
      </c>
      <c r="C7">
        <v>0</v>
      </c>
      <c r="D7">
        <v>12401311.800000001</v>
      </c>
      <c r="E7">
        <v>0</v>
      </c>
      <c r="F7">
        <v>48493304.210000001</v>
      </c>
      <c r="G7">
        <v>0</v>
      </c>
      <c r="H7">
        <v>3994895.4499999979</v>
      </c>
      <c r="I7">
        <v>0</v>
      </c>
      <c r="J7">
        <v>931282.51</v>
      </c>
      <c r="K7">
        <v>0</v>
      </c>
      <c r="L7">
        <v>194375</v>
      </c>
      <c r="M7">
        <v>0</v>
      </c>
      <c r="N7">
        <v>26178595.18</v>
      </c>
      <c r="O7">
        <v>0</v>
      </c>
      <c r="P7">
        <v>4184827.09</v>
      </c>
      <c r="Q7">
        <v>0</v>
      </c>
      <c r="R7">
        <v>-1929293.909999996</v>
      </c>
      <c r="S7">
        <v>0</v>
      </c>
      <c r="T7">
        <v>3383837.23</v>
      </c>
      <c r="U7">
        <v>0</v>
      </c>
      <c r="V7">
        <v>165003060.18000001</v>
      </c>
      <c r="W7">
        <v>0</v>
      </c>
      <c r="X7">
        <v>24159246.57</v>
      </c>
      <c r="Y7">
        <v>0</v>
      </c>
      <c r="Z7">
        <v>88389572.780000001</v>
      </c>
      <c r="AA7">
        <v>0</v>
      </c>
      <c r="AB7">
        <v>53343312.770000011</v>
      </c>
      <c r="AC7">
        <v>0</v>
      </c>
    </row>
    <row r="8" spans="1:29" x14ac:dyDescent="0.25">
      <c r="A8" t="s">
        <v>35</v>
      </c>
      <c r="B8">
        <v>91970968.769999996</v>
      </c>
      <c r="C8">
        <v>0</v>
      </c>
      <c r="D8">
        <v>12708159.02</v>
      </c>
      <c r="E8">
        <v>0</v>
      </c>
      <c r="F8">
        <v>46081103.310000002</v>
      </c>
      <c r="G8">
        <v>0</v>
      </c>
      <c r="H8">
        <v>3634572.31</v>
      </c>
      <c r="I8">
        <v>0</v>
      </c>
      <c r="J8">
        <v>1079682.51</v>
      </c>
      <c r="K8">
        <v>0</v>
      </c>
      <c r="L8">
        <v>194375</v>
      </c>
      <c r="M8">
        <v>0</v>
      </c>
      <c r="N8">
        <v>27643427.699999999</v>
      </c>
      <c r="O8">
        <v>0</v>
      </c>
      <c r="P8">
        <v>4731653.62</v>
      </c>
      <c r="Q8">
        <v>0</v>
      </c>
      <c r="R8">
        <v>-2547000</v>
      </c>
      <c r="S8">
        <v>0</v>
      </c>
      <c r="T8">
        <v>-2298255</v>
      </c>
      <c r="U8">
        <v>0</v>
      </c>
      <c r="V8">
        <v>164228182.28999999</v>
      </c>
      <c r="W8">
        <v>0</v>
      </c>
      <c r="X8">
        <v>18970504.949999999</v>
      </c>
      <c r="Y8">
        <v>0</v>
      </c>
      <c r="Z8">
        <v>57673660.210000008</v>
      </c>
      <c r="AA8">
        <v>0</v>
      </c>
      <c r="AB8">
        <v>87917309.379999965</v>
      </c>
      <c r="AC8">
        <v>0</v>
      </c>
    </row>
    <row r="9" spans="1:29" x14ac:dyDescent="0.25">
      <c r="A9" t="s">
        <v>36</v>
      </c>
      <c r="B9">
        <v>90253577.719999999</v>
      </c>
      <c r="C9">
        <v>0</v>
      </c>
      <c r="D9">
        <v>14703578.640000001</v>
      </c>
      <c r="E9">
        <v>0</v>
      </c>
      <c r="F9">
        <v>45010144.530000001</v>
      </c>
      <c r="G9">
        <v>0</v>
      </c>
      <c r="H9">
        <v>3859427.17</v>
      </c>
      <c r="I9">
        <v>0</v>
      </c>
      <c r="J9">
        <v>2157709.42</v>
      </c>
      <c r="K9">
        <v>0</v>
      </c>
      <c r="L9">
        <v>1265375</v>
      </c>
      <c r="M9">
        <v>0</v>
      </c>
      <c r="N9">
        <v>27356236.079999998</v>
      </c>
      <c r="O9">
        <v>0</v>
      </c>
      <c r="P9">
        <v>4885687.32</v>
      </c>
      <c r="Q9">
        <v>0</v>
      </c>
      <c r="R9">
        <v>-2639467.6699999869</v>
      </c>
      <c r="S9">
        <v>0</v>
      </c>
      <c r="T9">
        <v>-2476148</v>
      </c>
      <c r="U9">
        <v>0</v>
      </c>
      <c r="V9">
        <v>162138200.08000001</v>
      </c>
      <c r="W9">
        <v>0</v>
      </c>
      <c r="X9">
        <v>22237920.129999999</v>
      </c>
      <c r="Y9">
        <v>0</v>
      </c>
      <c r="Z9">
        <v>83238334.969999999</v>
      </c>
      <c r="AA9">
        <v>0</v>
      </c>
      <c r="AB9">
        <v>55622267.49000001</v>
      </c>
      <c r="AC9">
        <v>0</v>
      </c>
    </row>
    <row r="10" spans="1:29" x14ac:dyDescent="0.25">
      <c r="A10" t="s">
        <v>37</v>
      </c>
      <c r="B10">
        <v>93539104.589999974</v>
      </c>
      <c r="C10">
        <v>0</v>
      </c>
      <c r="D10">
        <v>13669721.210000001</v>
      </c>
      <c r="E10">
        <v>0</v>
      </c>
      <c r="F10">
        <v>51643825.919999987</v>
      </c>
      <c r="G10">
        <v>0</v>
      </c>
      <c r="H10">
        <v>9149765.8200000003</v>
      </c>
      <c r="I10">
        <v>0</v>
      </c>
      <c r="J10">
        <v>53778662.25</v>
      </c>
      <c r="K10">
        <v>0</v>
      </c>
      <c r="L10">
        <v>45087125</v>
      </c>
      <c r="M10">
        <v>0</v>
      </c>
      <c r="N10">
        <v>26941579.350000001</v>
      </c>
      <c r="O10">
        <v>0</v>
      </c>
      <c r="P10">
        <v>5015843.0600000015</v>
      </c>
      <c r="Q10">
        <v>0</v>
      </c>
      <c r="R10">
        <v>-2037195.7599999609</v>
      </c>
      <c r="S10">
        <v>0</v>
      </c>
      <c r="T10">
        <v>-2653712</v>
      </c>
      <c r="U10">
        <v>0</v>
      </c>
      <c r="V10">
        <v>223865976.34999999</v>
      </c>
      <c r="W10">
        <v>0</v>
      </c>
      <c r="X10">
        <v>70268743.090000004</v>
      </c>
      <c r="Y10">
        <v>0</v>
      </c>
      <c r="Z10">
        <v>85821328.389999986</v>
      </c>
      <c r="AA10">
        <v>0</v>
      </c>
      <c r="AB10">
        <v>67899678.319999993</v>
      </c>
      <c r="AC10">
        <v>0</v>
      </c>
    </row>
    <row r="11" spans="1:29" x14ac:dyDescent="0.25">
      <c r="A11" t="s">
        <v>38</v>
      </c>
      <c r="B11">
        <v>90876611.829999998</v>
      </c>
      <c r="C11">
        <v>0</v>
      </c>
      <c r="D11">
        <v>12704569.970000001</v>
      </c>
      <c r="E11">
        <v>0</v>
      </c>
      <c r="F11">
        <v>44527495.079999998</v>
      </c>
      <c r="G11">
        <v>0</v>
      </c>
      <c r="H11">
        <v>5159112.8899999978</v>
      </c>
      <c r="I11">
        <v>0</v>
      </c>
      <c r="J11">
        <v>29378388.899999999</v>
      </c>
      <c r="K11">
        <v>0</v>
      </c>
      <c r="L11">
        <v>24393875</v>
      </c>
      <c r="M11">
        <v>0</v>
      </c>
      <c r="N11">
        <v>26995058.561892491</v>
      </c>
      <c r="O11">
        <v>0</v>
      </c>
      <c r="P11">
        <v>5063916.8599999994</v>
      </c>
      <c r="Q11">
        <v>0</v>
      </c>
      <c r="R11">
        <v>-2351353.8100000019</v>
      </c>
      <c r="S11">
        <v>0</v>
      </c>
      <c r="T11">
        <v>-2773000</v>
      </c>
      <c r="U11">
        <v>0</v>
      </c>
      <c r="V11">
        <v>189426200.56189251</v>
      </c>
      <c r="W11">
        <v>0</v>
      </c>
      <c r="X11">
        <v>44548474.719999999</v>
      </c>
      <c r="Y11">
        <v>0</v>
      </c>
      <c r="Z11">
        <v>65462556.844249994</v>
      </c>
      <c r="AA11">
        <v>0</v>
      </c>
      <c r="AB11">
        <v>79538114.547642499</v>
      </c>
      <c r="AC11">
        <v>0</v>
      </c>
    </row>
    <row r="12" spans="1:29" x14ac:dyDescent="0.25">
      <c r="A12" t="s">
        <v>39</v>
      </c>
      <c r="B12">
        <v>88024752.609999999</v>
      </c>
      <c r="C12">
        <v>0</v>
      </c>
      <c r="D12">
        <v>12420253.18</v>
      </c>
      <c r="E12">
        <v>0</v>
      </c>
      <c r="F12">
        <v>48197060.830000013</v>
      </c>
      <c r="G12">
        <v>0</v>
      </c>
      <c r="H12">
        <v>4697652.45</v>
      </c>
      <c r="I12">
        <v>0</v>
      </c>
      <c r="J12">
        <v>53371865.189999998</v>
      </c>
      <c r="K12">
        <v>0</v>
      </c>
      <c r="L12">
        <v>44301206.729999997</v>
      </c>
      <c r="M12">
        <v>0</v>
      </c>
      <c r="N12">
        <v>27244862.09</v>
      </c>
      <c r="O12">
        <v>0</v>
      </c>
      <c r="P12">
        <v>10988379.380000001</v>
      </c>
      <c r="Q12">
        <v>0</v>
      </c>
      <c r="R12">
        <v>-810386.62999999523</v>
      </c>
      <c r="S12">
        <v>0</v>
      </c>
      <c r="T12">
        <v>-905000</v>
      </c>
      <c r="U12">
        <v>0</v>
      </c>
      <c r="V12">
        <v>216028154.09</v>
      </c>
      <c r="W12">
        <v>0</v>
      </c>
      <c r="X12">
        <v>71502491.739999995</v>
      </c>
      <c r="Y12">
        <v>0</v>
      </c>
      <c r="Z12">
        <v>66132145.10608834</v>
      </c>
      <c r="AA12">
        <v>0</v>
      </c>
      <c r="AB12">
        <v>78514328.513911694</v>
      </c>
      <c r="AC12">
        <v>0</v>
      </c>
    </row>
    <row r="13" spans="1:29" x14ac:dyDescent="0.25">
      <c r="A13" t="s">
        <v>40</v>
      </c>
      <c r="B13">
        <v>115273170.93000001</v>
      </c>
      <c r="C13">
        <v>0</v>
      </c>
      <c r="D13">
        <v>13110692.25</v>
      </c>
      <c r="E13">
        <v>0</v>
      </c>
      <c r="F13">
        <v>75867000.650000006</v>
      </c>
      <c r="G13">
        <v>0</v>
      </c>
      <c r="H13">
        <v>6426465.190000006</v>
      </c>
      <c r="I13">
        <v>0</v>
      </c>
      <c r="J13">
        <v>908753.93</v>
      </c>
      <c r="K13">
        <v>0</v>
      </c>
      <c r="L13">
        <v>243119.99</v>
      </c>
      <c r="M13">
        <v>0</v>
      </c>
      <c r="N13">
        <v>29642976.66</v>
      </c>
      <c r="O13">
        <v>0</v>
      </c>
      <c r="P13">
        <v>4603785.7300000004</v>
      </c>
      <c r="Q13">
        <v>0</v>
      </c>
      <c r="R13">
        <v>-2103099.5100000198</v>
      </c>
      <c r="S13">
        <v>0</v>
      </c>
      <c r="T13">
        <v>-4905330.4000000004</v>
      </c>
      <c r="U13">
        <v>0</v>
      </c>
      <c r="V13">
        <v>219588802.66</v>
      </c>
      <c r="W13">
        <v>0</v>
      </c>
      <c r="X13">
        <v>19478732.760000009</v>
      </c>
      <c r="Y13">
        <v>0</v>
      </c>
      <c r="Z13">
        <v>105553338.23</v>
      </c>
      <c r="AA13">
        <v>0</v>
      </c>
      <c r="AB13">
        <v>94757981.729999974</v>
      </c>
      <c r="AC13">
        <v>0</v>
      </c>
    </row>
    <row r="14" spans="1:29" x14ac:dyDescent="0.25">
      <c r="A14" t="s">
        <v>41</v>
      </c>
      <c r="B14">
        <v>88803389.900000006</v>
      </c>
      <c r="C14">
        <v>80274532.463603497</v>
      </c>
      <c r="D14">
        <v>14797376.029999999</v>
      </c>
      <c r="E14">
        <v>10442347.08371727</v>
      </c>
      <c r="F14">
        <v>51748032.659999989</v>
      </c>
      <c r="G14">
        <v>46530148.564534202</v>
      </c>
      <c r="H14">
        <v>7551484.3600000041</v>
      </c>
      <c r="I14">
        <v>3881417.2113424698</v>
      </c>
      <c r="J14">
        <v>933254.02000000014</v>
      </c>
      <c r="K14">
        <v>936088.9</v>
      </c>
      <c r="L14">
        <v>194375</v>
      </c>
      <c r="M14">
        <v>215775.26</v>
      </c>
      <c r="N14">
        <v>28581792.039999999</v>
      </c>
      <c r="O14">
        <v>28894159.209127799</v>
      </c>
      <c r="P14">
        <v>4556077.53</v>
      </c>
      <c r="Q14">
        <v>0</v>
      </c>
      <c r="R14">
        <v>-3573223.5800000131</v>
      </c>
      <c r="S14">
        <v>-2953301.1165</v>
      </c>
      <c r="T14">
        <v>-73002.539999999572</v>
      </c>
      <c r="U14">
        <v>0</v>
      </c>
      <c r="V14">
        <v>166493245.03999999</v>
      </c>
      <c r="W14">
        <v>153681628.02076551</v>
      </c>
      <c r="X14">
        <v>27026310.38000001</v>
      </c>
      <c r="Y14">
        <v>17464854.986228772</v>
      </c>
      <c r="Z14">
        <v>59863342.810000002</v>
      </c>
      <c r="AA14">
        <v>79146702.948436171</v>
      </c>
      <c r="AB14">
        <v>80592075.969999999</v>
      </c>
      <c r="AC14">
        <v>57125083.916100577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14"/>
  <sheetViews>
    <sheetView workbookViewId="0">
      <selection activeCell="K27" sqref="K27"/>
    </sheetView>
  </sheetViews>
  <sheetFormatPr defaultRowHeight="15" x14ac:dyDescent="0.25"/>
  <cols>
    <col min="2" max="2" width="22.5703125" bestFit="1" customWidth="1"/>
    <col min="3" max="3" width="21.7109375" bestFit="1" customWidth="1"/>
    <col min="4" max="4" width="20.7109375" bestFit="1" customWidth="1"/>
    <col min="5" max="5" width="15.7109375" bestFit="1" customWidth="1"/>
    <col min="8" max="8" width="18.85546875" bestFit="1" customWidth="1"/>
    <col min="18" max="18" width="10.140625" bestFit="1" customWidth="1"/>
  </cols>
  <sheetData>
    <row r="1" spans="1:26" x14ac:dyDescent="0.25">
      <c r="A1" t="s">
        <v>0</v>
      </c>
      <c r="B1" t="s">
        <v>312</v>
      </c>
      <c r="C1" t="s">
        <v>313</v>
      </c>
      <c r="D1" t="s">
        <v>314</v>
      </c>
      <c r="E1" t="s">
        <v>315</v>
      </c>
    </row>
    <row r="2" spans="1:26" x14ac:dyDescent="0.25">
      <c r="A2" t="s">
        <v>29</v>
      </c>
      <c r="C2">
        <v>87.354876488440198</v>
      </c>
      <c r="L2" s="2"/>
      <c r="R2" s="2"/>
    </row>
    <row r="3" spans="1:26" x14ac:dyDescent="0.25">
      <c r="A3" t="s">
        <v>30</v>
      </c>
      <c r="C3">
        <v>89.794006151012113</v>
      </c>
      <c r="D3">
        <v>11.274649803057169</v>
      </c>
      <c r="E3">
        <v>11.568555640613051</v>
      </c>
      <c r="L3" s="2"/>
      <c r="R3" s="2"/>
    </row>
    <row r="4" spans="1:26" x14ac:dyDescent="0.25">
      <c r="A4" t="s">
        <v>31</v>
      </c>
      <c r="C4">
        <v>80.378789909458348</v>
      </c>
      <c r="D4">
        <v>10.88221211744024</v>
      </c>
      <c r="E4">
        <v>12.79996451116631</v>
      </c>
      <c r="L4" s="2"/>
      <c r="R4" s="2"/>
    </row>
    <row r="5" spans="1:26" x14ac:dyDescent="0.25">
      <c r="A5" t="s">
        <v>32</v>
      </c>
      <c r="C5">
        <v>97.147447962879582</v>
      </c>
      <c r="D5">
        <v>11.40457549102592</v>
      </c>
      <c r="E5">
        <v>12.63607929727308</v>
      </c>
      <c r="L5" s="2"/>
      <c r="R5" s="2"/>
    </row>
    <row r="6" spans="1:26" x14ac:dyDescent="0.25">
      <c r="A6" t="s">
        <v>33</v>
      </c>
      <c r="C6">
        <v>91.245126065383374</v>
      </c>
      <c r="D6">
        <v>11.845296365672089</v>
      </c>
      <c r="E6">
        <v>12.480964880219251</v>
      </c>
      <c r="L6" s="2"/>
      <c r="R6" s="2"/>
    </row>
    <row r="7" spans="1:26" x14ac:dyDescent="0.25">
      <c r="A7" t="s">
        <v>34</v>
      </c>
      <c r="C7">
        <v>92.720271425586105</v>
      </c>
      <c r="D7">
        <v>11.73897593058766</v>
      </c>
      <c r="E7">
        <v>13.20526630560925</v>
      </c>
      <c r="L7" s="2"/>
      <c r="R7" s="2"/>
    </row>
    <row r="8" spans="1:26" x14ac:dyDescent="0.25">
      <c r="A8" t="s">
        <v>35</v>
      </c>
      <c r="C8">
        <v>97.866831173850585</v>
      </c>
      <c r="D8">
        <v>11.87272213692064</v>
      </c>
      <c r="E8">
        <v>13.018135382254711</v>
      </c>
      <c r="L8" s="2"/>
      <c r="R8" s="2"/>
    </row>
    <row r="9" spans="1:26" x14ac:dyDescent="0.25">
      <c r="A9" t="s">
        <v>36</v>
      </c>
      <c r="C9">
        <v>94.894884739111276</v>
      </c>
      <c r="D9">
        <v>12.474877052297231</v>
      </c>
      <c r="E9">
        <v>13.678382806481521</v>
      </c>
      <c r="L9" s="2"/>
      <c r="R9" s="2"/>
    </row>
    <row r="10" spans="1:26" x14ac:dyDescent="0.25">
      <c r="A10" t="s">
        <v>37</v>
      </c>
      <c r="C10">
        <v>96.280951485520873</v>
      </c>
      <c r="D10">
        <v>12.323514899082459</v>
      </c>
      <c r="E10">
        <v>13.512418086716719</v>
      </c>
      <c r="L10" s="2"/>
      <c r="R10" s="2"/>
    </row>
    <row r="11" spans="1:26" x14ac:dyDescent="0.25">
      <c r="A11" t="s">
        <v>38</v>
      </c>
      <c r="C11">
        <v>83.735619711151926</v>
      </c>
      <c r="D11">
        <v>12.474121323182629</v>
      </c>
      <c r="E11">
        <v>13.677554168885811</v>
      </c>
      <c r="L11" s="2"/>
      <c r="N11" s="2"/>
      <c r="O11" s="2"/>
      <c r="P11" s="2"/>
      <c r="Q11" s="2"/>
      <c r="R11" s="2"/>
      <c r="T11" s="2"/>
      <c r="U11" s="2"/>
      <c r="V11" s="2"/>
      <c r="W11" s="2"/>
      <c r="X11" s="2"/>
      <c r="Y11" s="2"/>
      <c r="Z11" s="2"/>
    </row>
    <row r="12" spans="1:26" x14ac:dyDescent="0.25">
      <c r="A12" t="s">
        <v>39</v>
      </c>
      <c r="C12">
        <v>75.024464738209275</v>
      </c>
      <c r="D12">
        <v>11.499179947333371</v>
      </c>
      <c r="E12">
        <v>12.608555949757999</v>
      </c>
      <c r="L12" s="2"/>
      <c r="R12" s="2"/>
    </row>
    <row r="13" spans="1:26" x14ac:dyDescent="0.25">
      <c r="A13" t="s">
        <v>40</v>
      </c>
      <c r="C13">
        <v>89.844216554088661</v>
      </c>
      <c r="D13">
        <v>12.152279825368201</v>
      </c>
      <c r="E13">
        <v>13.324663219206551</v>
      </c>
      <c r="L13" s="2"/>
      <c r="R13" s="2"/>
    </row>
    <row r="14" spans="1:26" x14ac:dyDescent="0.25">
      <c r="A14" t="s">
        <v>41</v>
      </c>
      <c r="C14">
        <v>85.489176659976991</v>
      </c>
      <c r="D14">
        <v>10.023525010727811</v>
      </c>
      <c r="E14">
        <v>10.99053815058074</v>
      </c>
      <c r="L14" s="2"/>
      <c r="R14" s="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KPI_Summary</vt:lpstr>
      <vt:lpstr>Financial_Monthly</vt:lpstr>
      <vt:lpstr>EBITDA_Bridge</vt:lpstr>
      <vt:lpstr>OPEX</vt:lpstr>
      <vt:lpstr>PP_Plans</vt:lpstr>
      <vt:lpstr>WTTx_Plans</vt:lpstr>
      <vt:lpstr>Cash_CAPEX</vt:lpstr>
      <vt:lpstr>Consumer_Sales</vt:lpstr>
      <vt:lpstr>Business_Sales</vt:lpstr>
      <vt:lpstr>Business_Sales_MRR</vt:lpstr>
      <vt:lpstr>Pipeline</vt:lpstr>
      <vt:lpstr>Renewals</vt:lpstr>
      <vt:lpstr>DPDI</vt:lpstr>
      <vt:lpstr>AMPLIA_Financial</vt:lpstr>
      <vt:lpstr>AMPLIA_Commercial</vt:lpstr>
      <vt:lpstr>PnL_Breakdown</vt:lpstr>
      <vt:lpstr>Consumer_Usage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Chad Simeon</cp:lastModifiedBy>
  <dcterms:created xsi:type="dcterms:W3CDTF">2026-05-18T01:26:25Z</dcterms:created>
  <dcterms:modified xsi:type="dcterms:W3CDTF">2026-05-18T13:59:04Z</dcterms:modified>
</cp:coreProperties>
</file>