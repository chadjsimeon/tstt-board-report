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tsttcott-my.sharepoint.com/personal/csimeon_tstt_co_tt/Documents/Financial Analysis/TSTT_Board_Report/"/>
    </mc:Choice>
  </mc:AlternateContent>
  <xr:revisionPtr revIDLastSave="53" documentId="6_{31AE12F9-1F43-4E41-A874-E34D2BA7A817}" xr6:coauthVersionLast="47" xr6:coauthVersionMax="47" xr10:uidLastSave="{AFA9BC4D-2793-4432-9678-460CFD0BFE4C}"/>
  <bookViews>
    <workbookView xWindow="-120" yWindow="-120" windowWidth="29040" windowHeight="15720" tabRatio="500" xr2:uid="{00000000-000D-0000-FFFF-FFFF00000000}"/>
  </bookViews>
  <sheets>
    <sheet name="KPI_Summary" sheetId="1" r:id="rId1"/>
    <sheet name="Financial_Monthly" sheetId="2" r:id="rId2"/>
    <sheet name="EBITDA_Bridge" sheetId="3" r:id="rId3"/>
    <sheet name="OPEX" sheetId="4" r:id="rId4"/>
    <sheet name="Cash_CAPEX" sheetId="5" r:id="rId5"/>
    <sheet name="Consumer_Sales" sheetId="6" r:id="rId6"/>
    <sheet name="Business_Sales" sheetId="7" r:id="rId7"/>
    <sheet name="Pipeline" sheetId="8" r:id="rId8"/>
    <sheet name="Renewals" sheetId="9" r:id="rId9"/>
    <sheet name="DPDI" sheetId="10" r:id="rId10"/>
    <sheet name="AMPLIA_Financial" sheetId="11" r:id="rId11"/>
    <sheet name="AMPLIA_Commercial" sheetId="12" r:id="rId12"/>
  </sheets>
  <calcPr calcId="191028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0" i="3" l="1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</calcChain>
</file>

<file path=xl/sharedStrings.xml><?xml version="1.0" encoding="utf-8"?>
<sst xmlns="http://schemas.openxmlformats.org/spreadsheetml/2006/main" count="674" uniqueCount="188">
  <si>
    <t>Month</t>
  </si>
  <si>
    <t>Section</t>
  </si>
  <si>
    <t>KPI_Name</t>
  </si>
  <si>
    <t>Actual</t>
  </si>
  <si>
    <t>AOP</t>
  </si>
  <si>
    <t>LY</t>
  </si>
  <si>
    <t>Status</t>
  </si>
  <si>
    <t>Unit</t>
  </si>
  <si>
    <t>Apr-26</t>
  </si>
  <si>
    <t>Financial</t>
  </si>
  <si>
    <t>Revenue</t>
  </si>
  <si>
    <t>TT$M</t>
  </si>
  <si>
    <t>EBITDA</t>
  </si>
  <si>
    <t>PAT</t>
  </si>
  <si>
    <t>EBITDA Margin</t>
  </si>
  <si>
    <t>%</t>
  </si>
  <si>
    <t>Free Cash Flow</t>
  </si>
  <si>
    <t>CAPEX/Revenue</t>
  </si>
  <si>
    <t>Customer</t>
  </si>
  <si>
    <t>NPS</t>
  </si>
  <si>
    <t>pts</t>
  </si>
  <si>
    <t>Postpaid Churn</t>
  </si>
  <si>
    <t>Complaints</t>
  </si>
  <si>
    <t>count</t>
  </si>
  <si>
    <t>Fibre Net-Adds</t>
  </si>
  <si>
    <t>subs</t>
  </si>
  <si>
    <t>Network</t>
  </si>
  <si>
    <t>Network Availability</t>
  </si>
  <si>
    <t>MTTR</t>
  </si>
  <si>
    <t>hrs</t>
  </si>
  <si>
    <t>Install Lead Time</t>
  </si>
  <si>
    <t>days</t>
  </si>
  <si>
    <t>5G Metro Coverage</t>
  </si>
  <si>
    <t>People</t>
  </si>
  <si>
    <t>Voluntary Attrition</t>
  </si>
  <si>
    <t>Critical Vacancy Fill</t>
  </si>
  <si>
    <t>Engagement Score</t>
  </si>
  <si>
    <t>score</t>
  </si>
  <si>
    <t>Women in Leadership</t>
  </si>
  <si>
    <t>EBITDA_Margin</t>
  </si>
  <si>
    <t>Revenue_AOP</t>
  </si>
  <si>
    <t>EBITDA_AOP</t>
  </si>
  <si>
    <t>PAT_AOP</t>
  </si>
  <si>
    <t>Revenue_LY</t>
  </si>
  <si>
    <t>EBITDA_LY</t>
  </si>
  <si>
    <t>PAT_LY</t>
  </si>
  <si>
    <t>Jul-25</t>
  </si>
  <si>
    <t>Aug-25</t>
  </si>
  <si>
    <t>Sep-25</t>
  </si>
  <si>
    <t>Oct-25</t>
  </si>
  <si>
    <t>Nov-25</t>
  </si>
  <si>
    <t>Dec-25</t>
  </si>
  <si>
    <t>Jan-26</t>
  </si>
  <si>
    <t>Feb-26</t>
  </si>
  <si>
    <t>Mar-26</t>
  </si>
  <si>
    <t>Category</t>
  </si>
  <si>
    <t>Value</t>
  </si>
  <si>
    <t>Sort_Order</t>
  </si>
  <si>
    <t>AOP EBITDA</t>
  </si>
  <si>
    <t>Revenue Upside</t>
  </si>
  <si>
    <t>Fibre Growth</t>
  </si>
  <si>
    <t>ICT Deals</t>
  </si>
  <si>
    <t>Energy Costs</t>
  </si>
  <si>
    <t>5G Rollout</t>
  </si>
  <si>
    <t>Network OPEX</t>
  </si>
  <si>
    <t>One-offs</t>
  </si>
  <si>
    <t>Plan</t>
  </si>
  <si>
    <t>Variance</t>
  </si>
  <si>
    <t>Variance_Pct</t>
  </si>
  <si>
    <t>Network Energy</t>
  </si>
  <si>
    <t>Personnel</t>
  </si>
  <si>
    <t>Marketing</t>
  </si>
  <si>
    <t>Bad Debt</t>
  </si>
  <si>
    <t>Managed Services</t>
  </si>
  <si>
    <t>Other</t>
  </si>
  <si>
    <t>Cash_Balance</t>
  </si>
  <si>
    <t>Net_Debt</t>
  </si>
  <si>
    <t>Collections_Pct</t>
  </si>
  <si>
    <t>FCF</t>
  </si>
  <si>
    <t>CAPEX_Actual</t>
  </si>
  <si>
    <t>CAPEX_Plan</t>
  </si>
  <si>
    <t>Segment</t>
  </si>
  <si>
    <t>Subscribers</t>
  </si>
  <si>
    <t>Churn_Pct</t>
  </si>
  <si>
    <t>ARPU</t>
  </si>
  <si>
    <t>YoY_Change_Pct</t>
  </si>
  <si>
    <t>Prepaid</t>
  </si>
  <si>
    <t>Postpaid</t>
  </si>
  <si>
    <t>WTTx</t>
  </si>
  <si>
    <t>Gross_Profit</t>
  </si>
  <si>
    <t>GP_Margin_Pct</t>
  </si>
  <si>
    <t>Contribution</t>
  </si>
  <si>
    <t>MRR</t>
  </si>
  <si>
    <t>Direct_Costs</t>
  </si>
  <si>
    <t>Circuit/Data</t>
  </si>
  <si>
    <t>Security</t>
  </si>
  <si>
    <t>Cloud</t>
  </si>
  <si>
    <t>Carrier</t>
  </si>
  <si>
    <t>Residential Security</t>
  </si>
  <si>
    <t>Stage</t>
  </si>
  <si>
    <t>Deal_Count</t>
  </si>
  <si>
    <t>Value_TTD_M</t>
  </si>
  <si>
    <t>Avg_Deal_Size</t>
  </si>
  <si>
    <t>Win_Rate_Pct</t>
  </si>
  <si>
    <t>Lead</t>
  </si>
  <si>
    <t>Proposal</t>
  </si>
  <si>
    <t>Negotiation</t>
  </si>
  <si>
    <t>Review</t>
  </si>
  <si>
    <t>Won</t>
  </si>
  <si>
    <t>Product_Service</t>
  </si>
  <si>
    <t>ACV_TTD_M</t>
  </si>
  <si>
    <t>Expiry_Date</t>
  </si>
  <si>
    <t>Risk_Level</t>
  </si>
  <si>
    <t>Action_Plan</t>
  </si>
  <si>
    <t>National Gas Company (NGC)</t>
  </si>
  <si>
    <t>MPLS WAN + Internet</t>
  </si>
  <si>
    <t>2026-06-30</t>
  </si>
  <si>
    <t>Medium</t>
  </si>
  <si>
    <t>In Progress</t>
  </si>
  <si>
    <t>Bundling cloud services; meeting May 15</t>
  </si>
  <si>
    <t>Republic Bank Ltd</t>
  </si>
  <si>
    <t>Managed Security + SD-WAN</t>
  </si>
  <si>
    <t>2026-08-31</t>
  </si>
  <si>
    <t>Low</t>
  </si>
  <si>
    <t>Secured</t>
  </si>
  <si>
    <t>Expanding scope to DDoS + cloud backup</t>
  </si>
  <si>
    <t>WASA</t>
  </si>
  <si>
    <t>Data Connectivity + IoT</t>
  </si>
  <si>
    <t>2026-07-31</t>
  </si>
  <si>
    <t>High</t>
  </si>
  <si>
    <t>Preparing competitive response vs FLOW</t>
  </si>
  <si>
    <t>Guardian Group</t>
  </si>
  <si>
    <t>Hosting + Disaster Recovery</t>
  </si>
  <si>
    <t>2026-09-30</t>
  </si>
  <si>
    <t>Positioning TSTT hybrid cloud offering</t>
  </si>
  <si>
    <t>NLCB</t>
  </si>
  <si>
    <t>Dedicated Circuit + VPN</t>
  </si>
  <si>
    <t>2026-10-31</t>
  </si>
  <si>
    <t>Multi-year renewal; upgrading to Metro Ethernet</t>
  </si>
  <si>
    <t>Point Lisas Industrial</t>
  </si>
  <si>
    <t>Enterprise Mobile Fleet</t>
  </si>
  <si>
    <t>2026-11-30</t>
  </si>
  <si>
    <t>Expanding IoT; adding 200 SIMs</t>
  </si>
  <si>
    <t>Caribbean Cement</t>
  </si>
  <si>
    <t>MPLS + Voice</t>
  </si>
  <si>
    <t>2026-12-31</t>
  </si>
  <si>
    <t>Remediation plan deployed for SLA issues</t>
  </si>
  <si>
    <t>Massy Holdings</t>
  </si>
  <si>
    <t>Unified Comms + Cloud</t>
  </si>
  <si>
    <t>2027-01-31</t>
  </si>
  <si>
    <t>Migrating to MS Teams Direct Routing</t>
  </si>
  <si>
    <t>First Citizens Bank</t>
  </si>
  <si>
    <t>Metro Ethernet + Security</t>
  </si>
  <si>
    <t>2027-02-28</t>
  </si>
  <si>
    <t>Adding managed firewall + endpoint security</t>
  </si>
  <si>
    <t>TTEC</t>
  </si>
  <si>
    <t>Fibre WAN + Data Centre</t>
  </si>
  <si>
    <t>2027-03-31</t>
  </si>
  <si>
    <t>Government mandate; expanding fibre south</t>
  </si>
  <si>
    <t>Product</t>
  </si>
  <si>
    <t>e-Tender</t>
  </si>
  <si>
    <t>e-GOVTT</t>
  </si>
  <si>
    <t>e-Cashbook</t>
  </si>
  <si>
    <t>e-Health</t>
  </si>
  <si>
    <t>PAYPR</t>
  </si>
  <si>
    <t>OPEX</t>
  </si>
  <si>
    <t>Gross_Additions</t>
  </si>
  <si>
    <t>Gross_Additions_AOP</t>
  </si>
  <si>
    <t>Monthly_Churn</t>
  </si>
  <si>
    <t>Churn_AOP</t>
  </si>
  <si>
    <t>Net_Port</t>
  </si>
  <si>
    <t>Channel</t>
  </si>
  <si>
    <t>Sales_Count</t>
  </si>
  <si>
    <t>Sales_Target</t>
  </si>
  <si>
    <t>Field Sales</t>
  </si>
  <si>
    <t>Tele Sales</t>
  </si>
  <si>
    <t>Retail</t>
  </si>
  <si>
    <t>🟢</t>
  </si>
  <si>
    <t>_xDFE1_</t>
  </si>
  <si>
    <t>🟡</t>
  </si>
  <si>
    <t>_xDD34_</t>
  </si>
  <si>
    <t>🔴</t>
  </si>
  <si>
    <t>Type</t>
  </si>
  <si>
    <t>Absolute</t>
  </si>
  <si>
    <t>Positive</t>
  </si>
  <si>
    <t>Negative</t>
  </si>
  <si>
    <t>Actual EBITDA</t>
  </si>
  <si>
    <t>`x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</si>
</sst>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A1A2E"/>
        <bgColor rgb="FF003300"/>
      </patternFill>
    </fill>
    <fill>
      <patternFill patternType="solid">
        <fgColor rgb="FFF5F5F5"/>
        <bgColor rgb="FFFFFFFF"/>
      </patternFill>
    </fill>
  </fills>
  <borders count="6">
    <border>
      <left/>
      <right/>
      <top/>
      <bottom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444444"/>
      </left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thin">
        <color rgb="FF444444"/>
      </left>
      <right style="thin">
        <color rgb="FF444444"/>
      </right>
      <top style="thin">
        <color rgb="FF444444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0" fillId="0" borderId="2" xfId="0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5F5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A1A2E"/>
      <rgbColor rgb="FF993300"/>
      <rgbColor rgb="FF993366"/>
      <rgbColor rgb="FF333399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9"/>
  <sheetViews>
    <sheetView tabSelected="1" zoomScaleNormal="100" workbookViewId="0">
      <selection activeCell="E28" sqref="E28"/>
    </sheetView>
  </sheetViews>
  <sheetFormatPr defaultColWidth="8.7109375" defaultRowHeight="15" x14ac:dyDescent="0.25"/>
  <cols>
    <col min="1" max="3" width="22" customWidth="1"/>
    <col min="4" max="6" width="14" customWidth="1"/>
    <col min="7" max="7" width="12" customWidth="1"/>
    <col min="8" max="8" width="14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8" t="s">
        <v>6</v>
      </c>
      <c r="H1" s="1" t="s">
        <v>7</v>
      </c>
    </row>
    <row r="2" spans="1:9" x14ac:dyDescent="0.25">
      <c r="A2" s="2" t="s">
        <v>8</v>
      </c>
      <c r="B2" s="2" t="s">
        <v>9</v>
      </c>
      <c r="C2" s="2" t="s">
        <v>10</v>
      </c>
      <c r="D2" s="2">
        <v>1580</v>
      </c>
      <c r="E2" s="2">
        <v>1520</v>
      </c>
      <c r="F2" s="4">
        <v>1490</v>
      </c>
      <c r="G2" s="9" t="s">
        <v>177</v>
      </c>
      <c r="H2" s="6" t="s">
        <v>11</v>
      </c>
    </row>
    <row r="3" spans="1:9" x14ac:dyDescent="0.25">
      <c r="A3" s="3" t="s">
        <v>8</v>
      </c>
      <c r="B3" s="3" t="s">
        <v>9</v>
      </c>
      <c r="C3" s="3" t="s">
        <v>12</v>
      </c>
      <c r="D3" s="3">
        <v>445</v>
      </c>
      <c r="E3" s="3">
        <v>460</v>
      </c>
      <c r="F3" s="5">
        <v>420</v>
      </c>
      <c r="G3" s="9" t="s">
        <v>181</v>
      </c>
      <c r="H3" s="7" t="s">
        <v>11</v>
      </c>
    </row>
    <row r="4" spans="1:9" x14ac:dyDescent="0.25">
      <c r="A4" s="2" t="s">
        <v>8</v>
      </c>
      <c r="B4" s="2" t="s">
        <v>9</v>
      </c>
      <c r="C4" s="2" t="s">
        <v>13</v>
      </c>
      <c r="D4" s="2">
        <v>185</v>
      </c>
      <c r="E4" s="2">
        <v>195</v>
      </c>
      <c r="F4" s="4">
        <v>170</v>
      </c>
      <c r="G4" s="9" t="s">
        <v>181</v>
      </c>
      <c r="H4" s="6" t="s">
        <v>11</v>
      </c>
    </row>
    <row r="5" spans="1:9" x14ac:dyDescent="0.25">
      <c r="A5" s="3" t="s">
        <v>8</v>
      </c>
      <c r="B5" s="3" t="s">
        <v>9</v>
      </c>
      <c r="C5" s="3" t="s">
        <v>14</v>
      </c>
      <c r="D5" s="3">
        <v>28.2</v>
      </c>
      <c r="E5" s="3">
        <v>30.2</v>
      </c>
      <c r="F5" s="5">
        <v>28.2</v>
      </c>
      <c r="G5" s="9" t="s">
        <v>181</v>
      </c>
      <c r="H5" s="7" t="s">
        <v>15</v>
      </c>
    </row>
    <row r="6" spans="1:9" x14ac:dyDescent="0.25">
      <c r="A6" s="2" t="s">
        <v>8</v>
      </c>
      <c r="B6" s="2" t="s">
        <v>9</v>
      </c>
      <c r="C6" s="2" t="s">
        <v>16</v>
      </c>
      <c r="D6" s="2">
        <v>265</v>
      </c>
      <c r="E6" s="2">
        <v>220</v>
      </c>
      <c r="F6" s="4">
        <v>217</v>
      </c>
      <c r="G6" s="9" t="s">
        <v>177</v>
      </c>
      <c r="H6" s="6" t="s">
        <v>11</v>
      </c>
    </row>
    <row r="7" spans="1:9" x14ac:dyDescent="0.25">
      <c r="A7" s="3" t="s">
        <v>8</v>
      </c>
      <c r="B7" s="3" t="s">
        <v>9</v>
      </c>
      <c r="C7" s="3" t="s">
        <v>17</v>
      </c>
      <c r="D7" s="3">
        <v>16.8</v>
      </c>
      <c r="E7" s="3">
        <v>17.5</v>
      </c>
      <c r="F7" s="5">
        <v>18.100000000000001</v>
      </c>
      <c r="G7" s="9" t="s">
        <v>181</v>
      </c>
      <c r="H7" s="7" t="s">
        <v>15</v>
      </c>
      <c r="I7" t="s">
        <v>178</v>
      </c>
    </row>
    <row r="8" spans="1:9" x14ac:dyDescent="0.25">
      <c r="A8" s="2" t="s">
        <v>8</v>
      </c>
      <c r="B8" s="2" t="s">
        <v>18</v>
      </c>
      <c r="C8" s="2" t="s">
        <v>19</v>
      </c>
      <c r="D8" s="2">
        <v>42</v>
      </c>
      <c r="E8" s="2">
        <v>40</v>
      </c>
      <c r="F8" s="4">
        <v>38</v>
      </c>
      <c r="G8" s="9" t="s">
        <v>177</v>
      </c>
      <c r="H8" s="6" t="s">
        <v>20</v>
      </c>
    </row>
    <row r="9" spans="1:9" x14ac:dyDescent="0.25">
      <c r="A9" s="3" t="s">
        <v>8</v>
      </c>
      <c r="B9" s="3" t="s">
        <v>18</v>
      </c>
      <c r="C9" s="3" t="s">
        <v>21</v>
      </c>
      <c r="D9" s="3">
        <v>1.1000000000000001</v>
      </c>
      <c r="E9" s="3">
        <v>1.3</v>
      </c>
      <c r="F9" s="5">
        <v>1.4</v>
      </c>
      <c r="G9" s="9" t="s">
        <v>181</v>
      </c>
      <c r="H9" s="7" t="s">
        <v>15</v>
      </c>
      <c r="I9" t="s">
        <v>180</v>
      </c>
    </row>
    <row r="10" spans="1:9" x14ac:dyDescent="0.25">
      <c r="A10" s="2" t="s">
        <v>8</v>
      </c>
      <c r="B10" s="2" t="s">
        <v>18</v>
      </c>
      <c r="C10" s="2" t="s">
        <v>22</v>
      </c>
      <c r="D10" s="2">
        <v>12400</v>
      </c>
      <c r="E10" s="2">
        <v>10000</v>
      </c>
      <c r="F10" s="4">
        <v>11500</v>
      </c>
      <c r="G10" s="9" t="s">
        <v>177</v>
      </c>
      <c r="H10" s="6" t="s">
        <v>23</v>
      </c>
    </row>
    <row r="11" spans="1:9" x14ac:dyDescent="0.25">
      <c r="A11" s="3" t="s">
        <v>8</v>
      </c>
      <c r="B11" s="3" t="s">
        <v>18</v>
      </c>
      <c r="C11" s="3" t="s">
        <v>24</v>
      </c>
      <c r="D11" s="3">
        <v>68000</v>
      </c>
      <c r="E11" s="3">
        <v>55000</v>
      </c>
      <c r="F11" s="5">
        <v>51000</v>
      </c>
      <c r="G11" s="9" t="s">
        <v>177</v>
      </c>
      <c r="H11" s="7" t="s">
        <v>25</v>
      </c>
    </row>
    <row r="12" spans="1:9" x14ac:dyDescent="0.25">
      <c r="A12" s="2" t="s">
        <v>8</v>
      </c>
      <c r="B12" s="2" t="s">
        <v>26</v>
      </c>
      <c r="C12" s="2" t="s">
        <v>27</v>
      </c>
      <c r="D12" s="2">
        <v>99.4</v>
      </c>
      <c r="E12" s="2">
        <v>99.5</v>
      </c>
      <c r="F12" s="4">
        <v>99.3</v>
      </c>
      <c r="G12" s="9" t="s">
        <v>179</v>
      </c>
      <c r="H12" s="6" t="s">
        <v>15</v>
      </c>
    </row>
    <row r="13" spans="1:9" x14ac:dyDescent="0.25">
      <c r="A13" s="3" t="s">
        <v>8</v>
      </c>
      <c r="B13" s="3" t="s">
        <v>26</v>
      </c>
      <c r="C13" s="3" t="s">
        <v>28</v>
      </c>
      <c r="D13" s="3">
        <v>3.8</v>
      </c>
      <c r="E13" s="3">
        <v>3.5</v>
      </c>
      <c r="F13" s="5">
        <v>4.0999999999999996</v>
      </c>
      <c r="G13" s="9" t="s">
        <v>179</v>
      </c>
      <c r="H13" s="7" t="s">
        <v>29</v>
      </c>
    </row>
    <row r="14" spans="1:9" x14ac:dyDescent="0.25">
      <c r="A14" s="2" t="s">
        <v>8</v>
      </c>
      <c r="B14" s="2" t="s">
        <v>26</v>
      </c>
      <c r="C14" s="2" t="s">
        <v>30</v>
      </c>
      <c r="D14" s="2">
        <v>4.2</v>
      </c>
      <c r="E14" s="2">
        <v>5</v>
      </c>
      <c r="F14" s="4">
        <v>5.8</v>
      </c>
      <c r="G14" s="9" t="s">
        <v>181</v>
      </c>
      <c r="H14" s="6" t="s">
        <v>31</v>
      </c>
    </row>
    <row r="15" spans="1:9" x14ac:dyDescent="0.25">
      <c r="A15" s="3" t="s">
        <v>8</v>
      </c>
      <c r="B15" s="3" t="s">
        <v>26</v>
      </c>
      <c r="C15" s="3" t="s">
        <v>32</v>
      </c>
      <c r="D15" s="3">
        <v>62</v>
      </c>
      <c r="E15" s="3">
        <v>75</v>
      </c>
      <c r="F15" s="5">
        <v>55</v>
      </c>
      <c r="G15" s="9" t="s">
        <v>181</v>
      </c>
      <c r="H15" s="7" t="s">
        <v>15</v>
      </c>
    </row>
    <row r="16" spans="1:9" x14ac:dyDescent="0.25">
      <c r="A16" s="2" t="s">
        <v>8</v>
      </c>
      <c r="B16" s="2" t="s">
        <v>33</v>
      </c>
      <c r="C16" s="2" t="s">
        <v>34</v>
      </c>
      <c r="D16" s="2">
        <v>8.1999999999999993</v>
      </c>
      <c r="E16" s="2">
        <v>9</v>
      </c>
      <c r="F16" s="4">
        <v>9.5</v>
      </c>
      <c r="G16" s="9" t="s">
        <v>181</v>
      </c>
      <c r="H16" s="6" t="s">
        <v>15</v>
      </c>
    </row>
    <row r="17" spans="1:8" x14ac:dyDescent="0.25">
      <c r="A17" s="3" t="s">
        <v>8</v>
      </c>
      <c r="B17" s="3" t="s">
        <v>33</v>
      </c>
      <c r="C17" s="3" t="s">
        <v>35</v>
      </c>
      <c r="D17" s="3">
        <v>74</v>
      </c>
      <c r="E17" s="3">
        <v>85</v>
      </c>
      <c r="F17" s="5">
        <v>80</v>
      </c>
      <c r="G17" s="9" t="s">
        <v>177</v>
      </c>
      <c r="H17" s="7" t="s">
        <v>15</v>
      </c>
    </row>
    <row r="18" spans="1:8" x14ac:dyDescent="0.25">
      <c r="A18" s="2" t="s">
        <v>8</v>
      </c>
      <c r="B18" s="2" t="s">
        <v>33</v>
      </c>
      <c r="C18" s="2" t="s">
        <v>36</v>
      </c>
      <c r="D18" s="2">
        <v>72</v>
      </c>
      <c r="E18" s="2">
        <v>70</v>
      </c>
      <c r="F18" s="4">
        <v>68</v>
      </c>
      <c r="G18" s="9" t="s">
        <v>177</v>
      </c>
      <c r="H18" s="6" t="s">
        <v>37</v>
      </c>
    </row>
    <row r="19" spans="1:8" x14ac:dyDescent="0.25">
      <c r="A19" s="3" t="s">
        <v>8</v>
      </c>
      <c r="B19" s="3" t="s">
        <v>33</v>
      </c>
      <c r="C19" s="3" t="s">
        <v>38</v>
      </c>
      <c r="D19" s="3">
        <v>38</v>
      </c>
      <c r="E19" s="3">
        <v>40</v>
      </c>
      <c r="F19" s="5">
        <v>36</v>
      </c>
      <c r="G19" s="9" t="s">
        <v>177</v>
      </c>
      <c r="H19" s="7" t="s">
        <v>15</v>
      </c>
    </row>
    <row r="29" spans="1:8" x14ac:dyDescent="0.25">
      <c r="F29" t="s">
        <v>187</v>
      </c>
    </row>
  </sheetData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1"/>
  <sheetViews>
    <sheetView zoomScaleNormal="100" workbookViewId="0">
      <selection activeCell="C15" sqref="C15"/>
    </sheetView>
  </sheetViews>
  <sheetFormatPr defaultColWidth="8.7109375" defaultRowHeight="15" x14ac:dyDescent="0.25"/>
  <cols>
    <col min="1" max="11" width="16" customWidth="1"/>
  </cols>
  <sheetData>
    <row r="1" spans="1:11" x14ac:dyDescent="0.25">
      <c r="A1" s="1" t="s">
        <v>0</v>
      </c>
      <c r="B1" s="1" t="s">
        <v>10</v>
      </c>
      <c r="C1" s="1" t="s">
        <v>12</v>
      </c>
      <c r="D1" s="1" t="s">
        <v>13</v>
      </c>
      <c r="E1" s="1" t="s">
        <v>39</v>
      </c>
      <c r="F1" s="1" t="s">
        <v>40</v>
      </c>
      <c r="G1" s="1" t="s">
        <v>41</v>
      </c>
      <c r="H1" s="1" t="s">
        <v>42</v>
      </c>
      <c r="I1" s="1" t="s">
        <v>43</v>
      </c>
      <c r="J1" s="1" t="s">
        <v>44</v>
      </c>
      <c r="K1" s="1" t="s">
        <v>45</v>
      </c>
    </row>
    <row r="2" spans="1:11" x14ac:dyDescent="0.25">
      <c r="A2" s="2" t="s">
        <v>46</v>
      </c>
      <c r="B2" s="2">
        <v>1380</v>
      </c>
      <c r="C2" s="2">
        <v>390</v>
      </c>
      <c r="D2" s="2">
        <v>160</v>
      </c>
      <c r="E2" s="2">
        <v>28.3</v>
      </c>
      <c r="F2" s="2">
        <v>1350</v>
      </c>
      <c r="G2" s="2">
        <v>400</v>
      </c>
      <c r="H2" s="2">
        <v>165</v>
      </c>
      <c r="I2" s="2">
        <v>1310</v>
      </c>
      <c r="J2" s="2">
        <v>370</v>
      </c>
      <c r="K2" s="2">
        <v>148</v>
      </c>
    </row>
    <row r="3" spans="1:11" x14ac:dyDescent="0.25">
      <c r="A3" s="3" t="s">
        <v>47</v>
      </c>
      <c r="B3" s="3">
        <v>1400</v>
      </c>
      <c r="C3" s="3">
        <v>398</v>
      </c>
      <c r="D3" s="3">
        <v>162</v>
      </c>
      <c r="E3" s="3">
        <v>28.4</v>
      </c>
      <c r="F3" s="3">
        <v>1370</v>
      </c>
      <c r="G3" s="3">
        <v>408</v>
      </c>
      <c r="H3" s="3">
        <v>167</v>
      </c>
      <c r="I3" s="3">
        <v>1320</v>
      </c>
      <c r="J3" s="3">
        <v>375</v>
      </c>
      <c r="K3" s="3">
        <v>150</v>
      </c>
    </row>
    <row r="4" spans="1:11" x14ac:dyDescent="0.25">
      <c r="A4" s="2" t="s">
        <v>48</v>
      </c>
      <c r="B4" s="2">
        <v>1420</v>
      </c>
      <c r="C4" s="2">
        <v>405</v>
      </c>
      <c r="D4" s="2">
        <v>165</v>
      </c>
      <c r="E4" s="2">
        <v>28.5</v>
      </c>
      <c r="F4" s="2">
        <v>1390</v>
      </c>
      <c r="G4" s="2">
        <v>415</v>
      </c>
      <c r="H4" s="2">
        <v>170</v>
      </c>
      <c r="I4" s="2">
        <v>1335</v>
      </c>
      <c r="J4" s="2">
        <v>380</v>
      </c>
      <c r="K4" s="2">
        <v>152</v>
      </c>
    </row>
    <row r="5" spans="1:11" x14ac:dyDescent="0.25">
      <c r="A5" s="3" t="s">
        <v>49</v>
      </c>
      <c r="B5" s="3">
        <v>1445</v>
      </c>
      <c r="C5" s="3">
        <v>412</v>
      </c>
      <c r="D5" s="3">
        <v>168</v>
      </c>
      <c r="E5" s="3">
        <v>28.5</v>
      </c>
      <c r="F5" s="3">
        <v>1410</v>
      </c>
      <c r="G5" s="3">
        <v>422</v>
      </c>
      <c r="H5" s="3">
        <v>173</v>
      </c>
      <c r="I5" s="3">
        <v>1350</v>
      </c>
      <c r="J5" s="3">
        <v>385</v>
      </c>
      <c r="K5" s="3">
        <v>154</v>
      </c>
    </row>
    <row r="6" spans="1:11" x14ac:dyDescent="0.25">
      <c r="A6" s="2" t="s">
        <v>50</v>
      </c>
      <c r="B6" s="2">
        <v>1460</v>
      </c>
      <c r="C6" s="2">
        <v>418</v>
      </c>
      <c r="D6" s="2">
        <v>170</v>
      </c>
      <c r="E6" s="2">
        <v>28.6</v>
      </c>
      <c r="F6" s="2">
        <v>1430</v>
      </c>
      <c r="G6" s="2">
        <v>428</v>
      </c>
      <c r="H6" s="2">
        <v>175</v>
      </c>
      <c r="I6" s="2">
        <v>1365</v>
      </c>
      <c r="J6" s="2">
        <v>390</v>
      </c>
      <c r="K6" s="2">
        <v>156</v>
      </c>
    </row>
    <row r="7" spans="1:11" x14ac:dyDescent="0.25">
      <c r="A7" s="3" t="s">
        <v>51</v>
      </c>
      <c r="B7" s="3">
        <v>1480</v>
      </c>
      <c r="C7" s="3">
        <v>425</v>
      </c>
      <c r="D7" s="3">
        <v>173</v>
      </c>
      <c r="E7" s="3">
        <v>28.7</v>
      </c>
      <c r="F7" s="3">
        <v>1450</v>
      </c>
      <c r="G7" s="3">
        <v>435</v>
      </c>
      <c r="H7" s="3">
        <v>178</v>
      </c>
      <c r="I7" s="3">
        <v>1380</v>
      </c>
      <c r="J7" s="3">
        <v>395</v>
      </c>
      <c r="K7" s="3">
        <v>158</v>
      </c>
    </row>
    <row r="8" spans="1:11" x14ac:dyDescent="0.25">
      <c r="A8" s="2" t="s">
        <v>52</v>
      </c>
      <c r="B8" s="2">
        <v>1500</v>
      </c>
      <c r="C8" s="2">
        <v>430</v>
      </c>
      <c r="D8" s="2">
        <v>175</v>
      </c>
      <c r="E8" s="2">
        <v>28.7</v>
      </c>
      <c r="F8" s="2">
        <v>1470</v>
      </c>
      <c r="G8" s="2">
        <v>442</v>
      </c>
      <c r="H8" s="2">
        <v>181</v>
      </c>
      <c r="I8" s="2">
        <v>1400</v>
      </c>
      <c r="J8" s="2">
        <v>400</v>
      </c>
      <c r="K8" s="2">
        <v>160</v>
      </c>
    </row>
    <row r="9" spans="1:11" x14ac:dyDescent="0.25">
      <c r="A9" s="3" t="s">
        <v>53</v>
      </c>
      <c r="B9" s="3">
        <v>1520</v>
      </c>
      <c r="C9" s="3">
        <v>436</v>
      </c>
      <c r="D9" s="3">
        <v>178</v>
      </c>
      <c r="E9" s="3">
        <v>28.7</v>
      </c>
      <c r="F9" s="3">
        <v>1490</v>
      </c>
      <c r="G9" s="3">
        <v>448</v>
      </c>
      <c r="H9" s="3">
        <v>184</v>
      </c>
      <c r="I9" s="3">
        <v>1415</v>
      </c>
      <c r="J9" s="3">
        <v>405</v>
      </c>
      <c r="K9" s="3">
        <v>162</v>
      </c>
    </row>
    <row r="10" spans="1:11" x14ac:dyDescent="0.25">
      <c r="A10" s="2" t="s">
        <v>54</v>
      </c>
      <c r="B10" s="2">
        <v>1550</v>
      </c>
      <c r="C10" s="2">
        <v>440</v>
      </c>
      <c r="D10" s="2">
        <v>182</v>
      </c>
      <c r="E10" s="2">
        <v>28.4</v>
      </c>
      <c r="F10" s="2">
        <v>1505</v>
      </c>
      <c r="G10" s="2">
        <v>454</v>
      </c>
      <c r="H10" s="2">
        <v>187</v>
      </c>
      <c r="I10" s="2">
        <v>1430</v>
      </c>
      <c r="J10" s="2">
        <v>410</v>
      </c>
      <c r="K10" s="2">
        <v>164</v>
      </c>
    </row>
    <row r="11" spans="1:11" x14ac:dyDescent="0.25">
      <c r="A11" s="3" t="s">
        <v>8</v>
      </c>
      <c r="B11" s="3">
        <v>1580</v>
      </c>
      <c r="C11" s="3">
        <v>445</v>
      </c>
      <c r="D11" s="3">
        <v>185</v>
      </c>
      <c r="E11" s="3">
        <v>28.2</v>
      </c>
      <c r="F11" s="3">
        <v>1520</v>
      </c>
      <c r="G11" s="3">
        <v>460</v>
      </c>
      <c r="H11" s="3">
        <v>195</v>
      </c>
      <c r="I11" s="3">
        <v>1490</v>
      </c>
      <c r="J11" s="3">
        <v>420</v>
      </c>
      <c r="K11" s="3">
        <v>170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"/>
  <sheetViews>
    <sheetView zoomScaleNormal="100" workbookViewId="0">
      <selection activeCell="F22" sqref="F22"/>
    </sheetView>
  </sheetViews>
  <sheetFormatPr defaultColWidth="8.7109375" defaultRowHeight="15" x14ac:dyDescent="0.25"/>
  <cols>
    <col min="1" max="1" width="22" customWidth="1"/>
    <col min="2" max="2" width="12" customWidth="1"/>
    <col min="3" max="3" width="14" customWidth="1"/>
    <col min="4" max="4" width="10.85546875" bestFit="1" customWidth="1"/>
  </cols>
  <sheetData>
    <row r="1" spans="1:4" x14ac:dyDescent="0.25">
      <c r="A1" s="1" t="s">
        <v>55</v>
      </c>
      <c r="B1" s="1" t="s">
        <v>56</v>
      </c>
      <c r="C1" s="1" t="s">
        <v>182</v>
      </c>
      <c r="D1" s="1" t="s">
        <v>57</v>
      </c>
    </row>
    <row r="2" spans="1:4" x14ac:dyDescent="0.25">
      <c r="A2" s="2" t="s">
        <v>58</v>
      </c>
      <c r="B2" s="2">
        <v>1640</v>
      </c>
      <c r="C2" s="2" t="s">
        <v>183</v>
      </c>
      <c r="D2" s="2">
        <v>1</v>
      </c>
    </row>
    <row r="3" spans="1:4" x14ac:dyDescent="0.25">
      <c r="A3" s="3" t="s">
        <v>59</v>
      </c>
      <c r="B3" s="3">
        <v>150</v>
      </c>
      <c r="C3" s="3" t="s">
        <v>184</v>
      </c>
      <c r="D3" s="3">
        <v>2</v>
      </c>
    </row>
    <row r="4" spans="1:4" x14ac:dyDescent="0.25">
      <c r="A4" s="2" t="s">
        <v>60</v>
      </c>
      <c r="B4" s="2">
        <v>80</v>
      </c>
      <c r="C4" s="2" t="s">
        <v>184</v>
      </c>
      <c r="D4" s="2">
        <v>3</v>
      </c>
    </row>
    <row r="5" spans="1:4" x14ac:dyDescent="0.25">
      <c r="A5" s="3" t="s">
        <v>61</v>
      </c>
      <c r="B5" s="3">
        <v>55</v>
      </c>
      <c r="C5" s="3" t="s">
        <v>184</v>
      </c>
      <c r="D5" s="3">
        <v>4</v>
      </c>
    </row>
    <row r="6" spans="1:4" x14ac:dyDescent="0.25">
      <c r="A6" s="2" t="s">
        <v>62</v>
      </c>
      <c r="B6" s="2">
        <v>-120</v>
      </c>
      <c r="C6" s="2" t="s">
        <v>185</v>
      </c>
      <c r="D6" s="2">
        <v>5</v>
      </c>
    </row>
    <row r="7" spans="1:4" x14ac:dyDescent="0.25">
      <c r="A7" s="3" t="s">
        <v>63</v>
      </c>
      <c r="B7" s="3">
        <v>-85</v>
      </c>
      <c r="C7" s="3" t="s">
        <v>185</v>
      </c>
      <c r="D7" s="3">
        <v>6</v>
      </c>
    </row>
    <row r="8" spans="1:4" x14ac:dyDescent="0.25">
      <c r="A8" s="2" t="s">
        <v>64</v>
      </c>
      <c r="B8" s="2">
        <v>-40</v>
      </c>
      <c r="C8" s="2" t="s">
        <v>185</v>
      </c>
      <c r="D8" s="2">
        <v>7</v>
      </c>
    </row>
    <row r="9" spans="1:4" x14ac:dyDescent="0.25">
      <c r="A9" s="3" t="s">
        <v>65</v>
      </c>
      <c r="B9" s="3">
        <v>-60</v>
      </c>
      <c r="C9" s="3" t="s">
        <v>185</v>
      </c>
      <c r="D9" s="3">
        <v>8</v>
      </c>
    </row>
    <row r="10" spans="1:4" x14ac:dyDescent="0.25">
      <c r="A10" s="2" t="s">
        <v>186</v>
      </c>
      <c r="B10" s="2">
        <f>SUM(B2:B9)</f>
        <v>1620</v>
      </c>
      <c r="C10" s="2" t="s">
        <v>183</v>
      </c>
      <c r="D10" s="2">
        <v>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5"/>
  <sheetViews>
    <sheetView zoomScaleNormal="100" workbookViewId="0"/>
  </sheetViews>
  <sheetFormatPr defaultColWidth="8.7109375" defaultRowHeight="15" x14ac:dyDescent="0.25"/>
  <cols>
    <col min="1" max="1" width="12" customWidth="1"/>
    <col min="2" max="2" width="22" customWidth="1"/>
    <col min="3" max="5" width="12" customWidth="1"/>
    <col min="6" max="6" width="14" customWidth="1"/>
  </cols>
  <sheetData>
    <row r="1" spans="1:6" x14ac:dyDescent="0.25">
      <c r="A1" s="1" t="s">
        <v>0</v>
      </c>
      <c r="B1" s="1" t="s">
        <v>55</v>
      </c>
      <c r="C1" s="1" t="s">
        <v>3</v>
      </c>
      <c r="D1" s="1" t="s">
        <v>66</v>
      </c>
      <c r="E1" s="1" t="s">
        <v>67</v>
      </c>
      <c r="F1" s="1" t="s">
        <v>68</v>
      </c>
    </row>
    <row r="2" spans="1:6" x14ac:dyDescent="0.25">
      <c r="A2" s="2" t="s">
        <v>52</v>
      </c>
      <c r="B2" s="2" t="s">
        <v>69</v>
      </c>
      <c r="C2" s="2">
        <v>89</v>
      </c>
      <c r="D2" s="2">
        <v>108</v>
      </c>
      <c r="E2" s="2">
        <v>-19</v>
      </c>
      <c r="F2" s="2">
        <f t="shared" ref="F2:F25" si="0">E2/D2</f>
        <v>-0.17592592592592593</v>
      </c>
    </row>
    <row r="3" spans="1:6" x14ac:dyDescent="0.25">
      <c r="A3" s="3" t="s">
        <v>52</v>
      </c>
      <c r="B3" s="3" t="s">
        <v>70</v>
      </c>
      <c r="C3" s="3">
        <v>145</v>
      </c>
      <c r="D3" s="3">
        <v>150</v>
      </c>
      <c r="E3" s="3">
        <v>-5</v>
      </c>
      <c r="F3" s="3">
        <f t="shared" si="0"/>
        <v>-3.3333333333333333E-2</v>
      </c>
    </row>
    <row r="4" spans="1:6" x14ac:dyDescent="0.25">
      <c r="A4" s="2" t="s">
        <v>52</v>
      </c>
      <c r="B4" s="2" t="s">
        <v>71</v>
      </c>
      <c r="C4" s="2">
        <v>125</v>
      </c>
      <c r="D4" s="2">
        <v>137</v>
      </c>
      <c r="E4" s="2">
        <v>-12</v>
      </c>
      <c r="F4" s="2">
        <f t="shared" si="0"/>
        <v>-8.7591240875912413E-2</v>
      </c>
    </row>
    <row r="5" spans="1:6" x14ac:dyDescent="0.25">
      <c r="A5" s="3" t="s">
        <v>52</v>
      </c>
      <c r="B5" s="3" t="s">
        <v>72</v>
      </c>
      <c r="C5" s="3">
        <v>129</v>
      </c>
      <c r="D5" s="3">
        <v>106</v>
      </c>
      <c r="E5" s="3">
        <v>23</v>
      </c>
      <c r="F5" s="3">
        <f t="shared" si="0"/>
        <v>0.21698113207547171</v>
      </c>
    </row>
    <row r="6" spans="1:6" x14ac:dyDescent="0.25">
      <c r="A6" s="2" t="s">
        <v>52</v>
      </c>
      <c r="B6" s="2" t="s">
        <v>73</v>
      </c>
      <c r="C6" s="2">
        <v>204</v>
      </c>
      <c r="D6" s="2">
        <v>219</v>
      </c>
      <c r="E6" s="2">
        <v>-15</v>
      </c>
      <c r="F6" s="2">
        <f t="shared" si="0"/>
        <v>-6.8493150684931503E-2</v>
      </c>
    </row>
    <row r="7" spans="1:6" x14ac:dyDescent="0.25">
      <c r="A7" s="3" t="s">
        <v>52</v>
      </c>
      <c r="B7" s="3" t="s">
        <v>74</v>
      </c>
      <c r="C7" s="3">
        <v>170</v>
      </c>
      <c r="D7" s="3">
        <v>188</v>
      </c>
      <c r="E7" s="3">
        <v>-18</v>
      </c>
      <c r="F7" s="3">
        <f t="shared" si="0"/>
        <v>-9.5744680851063829E-2</v>
      </c>
    </row>
    <row r="8" spans="1:6" x14ac:dyDescent="0.25">
      <c r="A8" s="2" t="s">
        <v>53</v>
      </c>
      <c r="B8" s="2" t="s">
        <v>69</v>
      </c>
      <c r="C8" s="2">
        <v>72</v>
      </c>
      <c r="D8" s="2">
        <v>87</v>
      </c>
      <c r="E8" s="2">
        <v>-15</v>
      </c>
      <c r="F8" s="2">
        <f t="shared" si="0"/>
        <v>-0.17241379310344829</v>
      </c>
    </row>
    <row r="9" spans="1:6" x14ac:dyDescent="0.25">
      <c r="A9" s="3" t="s">
        <v>53</v>
      </c>
      <c r="B9" s="3" t="s">
        <v>70</v>
      </c>
      <c r="C9" s="3">
        <v>129</v>
      </c>
      <c r="D9" s="3">
        <v>135</v>
      </c>
      <c r="E9" s="3">
        <v>-6</v>
      </c>
      <c r="F9" s="3">
        <f t="shared" si="0"/>
        <v>-4.4444444444444446E-2</v>
      </c>
    </row>
    <row r="10" spans="1:6" x14ac:dyDescent="0.25">
      <c r="A10" s="2" t="s">
        <v>53</v>
      </c>
      <c r="B10" s="2" t="s">
        <v>71</v>
      </c>
      <c r="C10" s="2">
        <v>227</v>
      </c>
      <c r="D10" s="2">
        <v>209</v>
      </c>
      <c r="E10" s="2">
        <v>18</v>
      </c>
      <c r="F10" s="2">
        <f t="shared" si="0"/>
        <v>8.6124401913875603E-2</v>
      </c>
    </row>
    <row r="11" spans="1:6" x14ac:dyDescent="0.25">
      <c r="A11" s="3" t="s">
        <v>53</v>
      </c>
      <c r="B11" s="3" t="s">
        <v>72</v>
      </c>
      <c r="C11" s="3">
        <v>101</v>
      </c>
      <c r="D11" s="3">
        <v>86</v>
      </c>
      <c r="E11" s="3">
        <v>15</v>
      </c>
      <c r="F11" s="3">
        <f t="shared" si="0"/>
        <v>0.1744186046511628</v>
      </c>
    </row>
    <row r="12" spans="1:6" x14ac:dyDescent="0.25">
      <c r="A12" s="2" t="s">
        <v>53</v>
      </c>
      <c r="B12" s="2" t="s">
        <v>73</v>
      </c>
      <c r="C12" s="2">
        <v>155</v>
      </c>
      <c r="D12" s="2">
        <v>130</v>
      </c>
      <c r="E12" s="2">
        <v>25</v>
      </c>
      <c r="F12" s="2">
        <f t="shared" si="0"/>
        <v>0.19230769230769232</v>
      </c>
    </row>
    <row r="13" spans="1:6" x14ac:dyDescent="0.25">
      <c r="A13" s="3" t="s">
        <v>53</v>
      </c>
      <c r="B13" s="3" t="s">
        <v>74</v>
      </c>
      <c r="C13" s="3">
        <v>225</v>
      </c>
      <c r="D13" s="3">
        <v>219</v>
      </c>
      <c r="E13" s="3">
        <v>6</v>
      </c>
      <c r="F13" s="3">
        <f t="shared" si="0"/>
        <v>2.7397260273972601E-2</v>
      </c>
    </row>
    <row r="14" spans="1:6" x14ac:dyDescent="0.25">
      <c r="A14" s="2" t="s">
        <v>54</v>
      </c>
      <c r="B14" s="2" t="s">
        <v>69</v>
      </c>
      <c r="C14" s="2">
        <v>144</v>
      </c>
      <c r="D14" s="2">
        <v>136</v>
      </c>
      <c r="E14" s="2">
        <v>8</v>
      </c>
      <c r="F14" s="2">
        <f t="shared" si="0"/>
        <v>5.8823529411764705E-2</v>
      </c>
    </row>
    <row r="15" spans="1:6" x14ac:dyDescent="0.25">
      <c r="A15" s="3" t="s">
        <v>54</v>
      </c>
      <c r="B15" s="3" t="s">
        <v>70</v>
      </c>
      <c r="C15" s="3">
        <v>131</v>
      </c>
      <c r="D15" s="3">
        <v>151</v>
      </c>
      <c r="E15" s="3">
        <v>-20</v>
      </c>
      <c r="F15" s="3">
        <f t="shared" si="0"/>
        <v>-0.13245033112582782</v>
      </c>
    </row>
    <row r="16" spans="1:6" x14ac:dyDescent="0.25">
      <c r="A16" s="2" t="s">
        <v>54</v>
      </c>
      <c r="B16" s="2" t="s">
        <v>71</v>
      </c>
      <c r="C16" s="2">
        <v>144</v>
      </c>
      <c r="D16" s="2">
        <v>120</v>
      </c>
      <c r="E16" s="2">
        <v>24</v>
      </c>
      <c r="F16" s="2">
        <f t="shared" si="0"/>
        <v>0.2</v>
      </c>
    </row>
    <row r="17" spans="1:6" x14ac:dyDescent="0.25">
      <c r="A17" s="3" t="s">
        <v>54</v>
      </c>
      <c r="B17" s="3" t="s">
        <v>72</v>
      </c>
      <c r="C17" s="3">
        <v>189</v>
      </c>
      <c r="D17" s="3">
        <v>188</v>
      </c>
      <c r="E17" s="3">
        <v>1</v>
      </c>
      <c r="F17" s="3">
        <f t="shared" si="0"/>
        <v>5.3191489361702126E-3</v>
      </c>
    </row>
    <row r="18" spans="1:6" x14ac:dyDescent="0.25">
      <c r="A18" s="2" t="s">
        <v>54</v>
      </c>
      <c r="B18" s="2" t="s">
        <v>73</v>
      </c>
      <c r="C18" s="2">
        <v>140</v>
      </c>
      <c r="D18" s="2">
        <v>151</v>
      </c>
      <c r="E18" s="2">
        <v>-11</v>
      </c>
      <c r="F18" s="2">
        <f t="shared" si="0"/>
        <v>-7.2847682119205295E-2</v>
      </c>
    </row>
    <row r="19" spans="1:6" x14ac:dyDescent="0.25">
      <c r="A19" s="3" t="s">
        <v>54</v>
      </c>
      <c r="B19" s="3" t="s">
        <v>74</v>
      </c>
      <c r="C19" s="3">
        <v>163</v>
      </c>
      <c r="D19" s="3">
        <v>135</v>
      </c>
      <c r="E19" s="3">
        <v>28</v>
      </c>
      <c r="F19" s="3">
        <f t="shared" si="0"/>
        <v>0.2074074074074074</v>
      </c>
    </row>
    <row r="20" spans="1:6" x14ac:dyDescent="0.25">
      <c r="A20" s="2" t="s">
        <v>8</v>
      </c>
      <c r="B20" s="2" t="s">
        <v>69</v>
      </c>
      <c r="C20" s="2">
        <v>152</v>
      </c>
      <c r="D20" s="2">
        <v>166</v>
      </c>
      <c r="E20" s="2">
        <v>-14</v>
      </c>
      <c r="F20" s="2">
        <f t="shared" si="0"/>
        <v>-8.4337349397590355E-2</v>
      </c>
    </row>
    <row r="21" spans="1:6" x14ac:dyDescent="0.25">
      <c r="A21" s="3" t="s">
        <v>8</v>
      </c>
      <c r="B21" s="3" t="s">
        <v>70</v>
      </c>
      <c r="C21" s="3">
        <v>107</v>
      </c>
      <c r="D21" s="3">
        <v>103</v>
      </c>
      <c r="E21" s="3">
        <v>4</v>
      </c>
      <c r="F21" s="3">
        <f t="shared" si="0"/>
        <v>3.8834951456310676E-2</v>
      </c>
    </row>
    <row r="22" spans="1:6" x14ac:dyDescent="0.25">
      <c r="A22" s="2" t="s">
        <v>8</v>
      </c>
      <c r="B22" s="2" t="s">
        <v>71</v>
      </c>
      <c r="C22" s="2">
        <v>106</v>
      </c>
      <c r="D22" s="2">
        <v>104</v>
      </c>
      <c r="E22" s="2">
        <v>2</v>
      </c>
      <c r="F22" s="2">
        <f t="shared" si="0"/>
        <v>1.9230769230769232E-2</v>
      </c>
    </row>
    <row r="23" spans="1:6" x14ac:dyDescent="0.25">
      <c r="A23" s="3" t="s">
        <v>8</v>
      </c>
      <c r="B23" s="3" t="s">
        <v>72</v>
      </c>
      <c r="C23" s="3">
        <v>186</v>
      </c>
      <c r="D23" s="3">
        <v>168</v>
      </c>
      <c r="E23" s="3">
        <v>18</v>
      </c>
      <c r="F23" s="3">
        <f t="shared" si="0"/>
        <v>0.10714285714285714</v>
      </c>
    </row>
    <row r="24" spans="1:6" x14ac:dyDescent="0.25">
      <c r="A24" s="2" t="s">
        <v>8</v>
      </c>
      <c r="B24" s="2" t="s">
        <v>73</v>
      </c>
      <c r="C24" s="2">
        <v>129</v>
      </c>
      <c r="D24" s="2">
        <v>147</v>
      </c>
      <c r="E24" s="2">
        <v>-18</v>
      </c>
      <c r="F24" s="2">
        <f t="shared" si="0"/>
        <v>-0.12244897959183673</v>
      </c>
    </row>
    <row r="25" spans="1:6" x14ac:dyDescent="0.25">
      <c r="A25" s="3" t="s">
        <v>8</v>
      </c>
      <c r="B25" s="3" t="s">
        <v>74</v>
      </c>
      <c r="C25" s="3">
        <v>211</v>
      </c>
      <c r="D25" s="3">
        <v>197</v>
      </c>
      <c r="E25" s="3">
        <v>14</v>
      </c>
      <c r="F25" s="3">
        <f t="shared" si="0"/>
        <v>7.1065989847715741E-2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1"/>
  <sheetViews>
    <sheetView zoomScaleNormal="100" workbookViewId="0">
      <selection activeCell="F37" sqref="F37"/>
    </sheetView>
  </sheetViews>
  <sheetFormatPr defaultColWidth="8.7109375" defaultRowHeight="15" x14ac:dyDescent="0.25"/>
  <cols>
    <col min="1" max="7" width="16" customWidth="1"/>
  </cols>
  <sheetData>
    <row r="1" spans="1:7" x14ac:dyDescent="0.25">
      <c r="A1" s="1" t="s">
        <v>0</v>
      </c>
      <c r="B1" s="1" t="s">
        <v>75</v>
      </c>
      <c r="C1" s="1" t="s">
        <v>76</v>
      </c>
      <c r="D1" s="1" t="s">
        <v>77</v>
      </c>
      <c r="E1" s="1" t="s">
        <v>78</v>
      </c>
      <c r="F1" s="1" t="s">
        <v>79</v>
      </c>
      <c r="G1" s="1" t="s">
        <v>80</v>
      </c>
    </row>
    <row r="2" spans="1:7" x14ac:dyDescent="0.25">
      <c r="A2" s="2" t="s">
        <v>46</v>
      </c>
      <c r="B2" s="2">
        <v>720</v>
      </c>
      <c r="C2" s="2">
        <v>2600</v>
      </c>
      <c r="D2" s="2">
        <v>91</v>
      </c>
      <c r="E2" s="2">
        <v>210</v>
      </c>
      <c r="F2" s="2">
        <v>180</v>
      </c>
      <c r="G2" s="2">
        <v>195</v>
      </c>
    </row>
    <row r="3" spans="1:7" x14ac:dyDescent="0.25">
      <c r="A3" s="3" t="s">
        <v>47</v>
      </c>
      <c r="B3" s="3">
        <v>735</v>
      </c>
      <c r="C3" s="3">
        <v>2580</v>
      </c>
      <c r="D3" s="3">
        <v>92</v>
      </c>
      <c r="E3" s="3">
        <v>218</v>
      </c>
      <c r="F3" s="3">
        <v>185</v>
      </c>
      <c r="G3" s="3">
        <v>195</v>
      </c>
    </row>
    <row r="4" spans="1:7" x14ac:dyDescent="0.25">
      <c r="A4" s="2" t="s">
        <v>48</v>
      </c>
      <c r="B4" s="2">
        <v>748</v>
      </c>
      <c r="C4" s="2">
        <v>2565</v>
      </c>
      <c r="D4" s="2">
        <v>91</v>
      </c>
      <c r="E4" s="2">
        <v>224</v>
      </c>
      <c r="F4" s="2">
        <v>188</v>
      </c>
      <c r="G4" s="2">
        <v>200</v>
      </c>
    </row>
    <row r="5" spans="1:7" x14ac:dyDescent="0.25">
      <c r="A5" s="3" t="s">
        <v>49</v>
      </c>
      <c r="B5" s="3">
        <v>760</v>
      </c>
      <c r="C5" s="3">
        <v>2545</v>
      </c>
      <c r="D5" s="3">
        <v>93</v>
      </c>
      <c r="E5" s="3">
        <v>230</v>
      </c>
      <c r="F5" s="3">
        <v>190</v>
      </c>
      <c r="G5" s="3">
        <v>200</v>
      </c>
    </row>
    <row r="6" spans="1:7" x14ac:dyDescent="0.25">
      <c r="A6" s="2" t="s">
        <v>50</v>
      </c>
      <c r="B6" s="2">
        <v>775</v>
      </c>
      <c r="C6" s="2">
        <v>2525</v>
      </c>
      <c r="D6" s="2">
        <v>92</v>
      </c>
      <c r="E6" s="2">
        <v>238</v>
      </c>
      <c r="F6" s="2">
        <v>192</v>
      </c>
      <c r="G6" s="2">
        <v>205</v>
      </c>
    </row>
    <row r="7" spans="1:7" x14ac:dyDescent="0.25">
      <c r="A7" s="3" t="s">
        <v>51</v>
      </c>
      <c r="B7" s="3">
        <v>790</v>
      </c>
      <c r="C7" s="3">
        <v>2510</v>
      </c>
      <c r="D7" s="3">
        <v>94</v>
      </c>
      <c r="E7" s="3">
        <v>244</v>
      </c>
      <c r="F7" s="3">
        <v>195</v>
      </c>
      <c r="G7" s="3">
        <v>205</v>
      </c>
    </row>
    <row r="8" spans="1:7" x14ac:dyDescent="0.25">
      <c r="A8" s="2" t="s">
        <v>52</v>
      </c>
      <c r="B8" s="2">
        <v>800</v>
      </c>
      <c r="C8" s="2">
        <v>2500</v>
      </c>
      <c r="D8" s="2">
        <v>91</v>
      </c>
      <c r="E8" s="2">
        <v>248</v>
      </c>
      <c r="F8" s="2">
        <v>198</v>
      </c>
      <c r="G8" s="2">
        <v>210</v>
      </c>
    </row>
    <row r="9" spans="1:7" x14ac:dyDescent="0.25">
      <c r="A9" s="3" t="s">
        <v>53</v>
      </c>
      <c r="B9" s="3">
        <v>815</v>
      </c>
      <c r="C9" s="3">
        <v>2490</v>
      </c>
      <c r="D9" s="3">
        <v>93</v>
      </c>
      <c r="E9" s="3">
        <v>254</v>
      </c>
      <c r="F9" s="3">
        <v>200</v>
      </c>
      <c r="G9" s="3">
        <v>210</v>
      </c>
    </row>
    <row r="10" spans="1:7" x14ac:dyDescent="0.25">
      <c r="A10" s="2" t="s">
        <v>54</v>
      </c>
      <c r="B10" s="2">
        <v>852</v>
      </c>
      <c r="C10" s="2">
        <v>2470</v>
      </c>
      <c r="D10" s="2">
        <v>92</v>
      </c>
      <c r="E10" s="2">
        <v>260</v>
      </c>
      <c r="F10" s="2">
        <v>202</v>
      </c>
      <c r="G10" s="2">
        <v>215</v>
      </c>
    </row>
    <row r="11" spans="1:7" x14ac:dyDescent="0.25">
      <c r="A11" s="3" t="s">
        <v>8</v>
      </c>
      <c r="B11" s="3">
        <v>890</v>
      </c>
      <c r="C11" s="3">
        <v>2450</v>
      </c>
      <c r="D11" s="3">
        <v>92</v>
      </c>
      <c r="E11" s="3">
        <v>265</v>
      </c>
      <c r="F11" s="3">
        <v>204</v>
      </c>
      <c r="G11" s="3">
        <v>215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1"/>
  <sheetViews>
    <sheetView zoomScaleNormal="100" workbookViewId="0">
      <selection activeCell="F37" sqref="F37"/>
    </sheetView>
  </sheetViews>
  <sheetFormatPr defaultColWidth="8.7109375" defaultRowHeight="15" x14ac:dyDescent="0.25"/>
  <cols>
    <col min="1" max="1" width="16" customWidth="1"/>
    <col min="2" max="2" width="12" customWidth="1"/>
    <col min="3" max="8" width="16" customWidth="1"/>
  </cols>
  <sheetData>
    <row r="1" spans="1:8" x14ac:dyDescent="0.25">
      <c r="A1" s="1" t="s">
        <v>0</v>
      </c>
      <c r="B1" s="1" t="s">
        <v>81</v>
      </c>
      <c r="C1" s="1" t="s">
        <v>10</v>
      </c>
      <c r="D1" s="1" t="s">
        <v>40</v>
      </c>
      <c r="E1" s="1" t="s">
        <v>82</v>
      </c>
      <c r="F1" s="1" t="s">
        <v>83</v>
      </c>
      <c r="G1" s="1" t="s">
        <v>84</v>
      </c>
      <c r="H1" s="1" t="s">
        <v>85</v>
      </c>
    </row>
    <row r="2" spans="1:8" x14ac:dyDescent="0.25">
      <c r="A2" s="2" t="s">
        <v>46</v>
      </c>
      <c r="B2" s="2" t="s">
        <v>86</v>
      </c>
      <c r="C2" s="2">
        <v>377</v>
      </c>
      <c r="D2" s="2">
        <v>438</v>
      </c>
      <c r="E2" s="2">
        <v>783985</v>
      </c>
      <c r="F2" s="2">
        <v>4.2</v>
      </c>
      <c r="G2" s="2">
        <v>498</v>
      </c>
      <c r="H2" s="2">
        <v>-6.6</v>
      </c>
    </row>
    <row r="3" spans="1:8" x14ac:dyDescent="0.25">
      <c r="A3" s="3" t="s">
        <v>46</v>
      </c>
      <c r="B3" s="3" t="s">
        <v>87</v>
      </c>
      <c r="C3" s="3">
        <v>396</v>
      </c>
      <c r="D3" s="3">
        <v>374</v>
      </c>
      <c r="E3" s="3">
        <v>297550</v>
      </c>
      <c r="F3" s="3">
        <v>1.8</v>
      </c>
      <c r="G3" s="3">
        <v>1281</v>
      </c>
      <c r="H3" s="3">
        <v>4.7</v>
      </c>
    </row>
    <row r="4" spans="1:8" x14ac:dyDescent="0.25">
      <c r="A4" s="2" t="s">
        <v>46</v>
      </c>
      <c r="B4" s="2" t="s">
        <v>88</v>
      </c>
      <c r="C4" s="2">
        <v>184</v>
      </c>
      <c r="D4" s="2">
        <v>203</v>
      </c>
      <c r="E4" s="2">
        <v>89261</v>
      </c>
      <c r="F4" s="2">
        <v>2.1</v>
      </c>
      <c r="G4" s="2">
        <v>2210</v>
      </c>
      <c r="H4" s="2">
        <v>-0.4</v>
      </c>
    </row>
    <row r="5" spans="1:8" x14ac:dyDescent="0.25">
      <c r="A5" s="3" t="s">
        <v>47</v>
      </c>
      <c r="B5" s="3" t="s">
        <v>86</v>
      </c>
      <c r="C5" s="3">
        <v>383</v>
      </c>
      <c r="D5" s="3">
        <v>438</v>
      </c>
      <c r="E5" s="3">
        <v>783397</v>
      </c>
      <c r="F5" s="3">
        <v>4.2</v>
      </c>
      <c r="G5" s="3">
        <v>498</v>
      </c>
      <c r="H5" s="3">
        <v>-6.6</v>
      </c>
    </row>
    <row r="6" spans="1:8" x14ac:dyDescent="0.25">
      <c r="A6" s="2" t="s">
        <v>47</v>
      </c>
      <c r="B6" s="2" t="s">
        <v>87</v>
      </c>
      <c r="C6" s="2">
        <v>387</v>
      </c>
      <c r="D6" s="2">
        <v>374</v>
      </c>
      <c r="E6" s="2">
        <v>298533</v>
      </c>
      <c r="F6" s="2">
        <v>1.8</v>
      </c>
      <c r="G6" s="2">
        <v>1281</v>
      </c>
      <c r="H6" s="2">
        <v>4.7</v>
      </c>
    </row>
    <row r="7" spans="1:8" x14ac:dyDescent="0.25">
      <c r="A7" s="3" t="s">
        <v>47</v>
      </c>
      <c r="B7" s="3" t="s">
        <v>88</v>
      </c>
      <c r="C7" s="3">
        <v>210</v>
      </c>
      <c r="D7" s="3">
        <v>203</v>
      </c>
      <c r="E7" s="3">
        <v>90529</v>
      </c>
      <c r="F7" s="3">
        <v>2.1</v>
      </c>
      <c r="G7" s="3">
        <v>2210</v>
      </c>
      <c r="H7" s="3">
        <v>-0.4</v>
      </c>
    </row>
    <row r="8" spans="1:8" x14ac:dyDescent="0.25">
      <c r="A8" s="2" t="s">
        <v>48</v>
      </c>
      <c r="B8" s="2" t="s">
        <v>86</v>
      </c>
      <c r="C8" s="2">
        <v>385</v>
      </c>
      <c r="D8" s="2">
        <v>438</v>
      </c>
      <c r="E8" s="2">
        <v>782364</v>
      </c>
      <c r="F8" s="2">
        <v>4.2</v>
      </c>
      <c r="G8" s="2">
        <v>498</v>
      </c>
      <c r="H8" s="2">
        <v>-6.6</v>
      </c>
    </row>
    <row r="9" spans="1:8" x14ac:dyDescent="0.25">
      <c r="A9" s="3" t="s">
        <v>48</v>
      </c>
      <c r="B9" s="3" t="s">
        <v>87</v>
      </c>
      <c r="C9" s="3">
        <v>373</v>
      </c>
      <c r="D9" s="3">
        <v>374</v>
      </c>
      <c r="E9" s="3">
        <v>298885</v>
      </c>
      <c r="F9" s="3">
        <v>1.8</v>
      </c>
      <c r="G9" s="3">
        <v>1281</v>
      </c>
      <c r="H9" s="3">
        <v>4.7</v>
      </c>
    </row>
    <row r="10" spans="1:8" x14ac:dyDescent="0.25">
      <c r="A10" s="2" t="s">
        <v>48</v>
      </c>
      <c r="B10" s="2" t="s">
        <v>88</v>
      </c>
      <c r="C10" s="2">
        <v>184</v>
      </c>
      <c r="D10" s="2">
        <v>203</v>
      </c>
      <c r="E10" s="2">
        <v>87187</v>
      </c>
      <c r="F10" s="2">
        <v>2.1</v>
      </c>
      <c r="G10" s="2">
        <v>2210</v>
      </c>
      <c r="H10" s="2">
        <v>-0.4</v>
      </c>
    </row>
    <row r="11" spans="1:8" x14ac:dyDescent="0.25">
      <c r="A11" s="3" t="s">
        <v>49</v>
      </c>
      <c r="B11" s="3" t="s">
        <v>86</v>
      </c>
      <c r="C11" s="3">
        <v>395</v>
      </c>
      <c r="D11" s="3">
        <v>438</v>
      </c>
      <c r="E11" s="3">
        <v>780933</v>
      </c>
      <c r="F11" s="3">
        <v>4.2</v>
      </c>
      <c r="G11" s="3">
        <v>498</v>
      </c>
      <c r="H11" s="3">
        <v>-6.6</v>
      </c>
    </row>
    <row r="12" spans="1:8" x14ac:dyDescent="0.25">
      <c r="A12" s="2" t="s">
        <v>49</v>
      </c>
      <c r="B12" s="2" t="s">
        <v>87</v>
      </c>
      <c r="C12" s="2">
        <v>391</v>
      </c>
      <c r="D12" s="2">
        <v>374</v>
      </c>
      <c r="E12" s="2">
        <v>297185</v>
      </c>
      <c r="F12" s="2">
        <v>1.8</v>
      </c>
      <c r="G12" s="2">
        <v>1281</v>
      </c>
      <c r="H12" s="2">
        <v>4.7</v>
      </c>
    </row>
    <row r="13" spans="1:8" x14ac:dyDescent="0.25">
      <c r="A13" s="3" t="s">
        <v>49</v>
      </c>
      <c r="B13" s="3" t="s">
        <v>88</v>
      </c>
      <c r="C13" s="3">
        <v>184</v>
      </c>
      <c r="D13" s="3">
        <v>203</v>
      </c>
      <c r="E13" s="3">
        <v>90503</v>
      </c>
      <c r="F13" s="3">
        <v>2.1</v>
      </c>
      <c r="G13" s="3">
        <v>2210</v>
      </c>
      <c r="H13" s="3">
        <v>-0.4</v>
      </c>
    </row>
    <row r="14" spans="1:8" x14ac:dyDescent="0.25">
      <c r="A14" s="2" t="s">
        <v>50</v>
      </c>
      <c r="B14" s="2" t="s">
        <v>86</v>
      </c>
      <c r="C14" s="2">
        <v>381</v>
      </c>
      <c r="D14" s="2">
        <v>438</v>
      </c>
      <c r="E14" s="2">
        <v>783549</v>
      </c>
      <c r="F14" s="2">
        <v>4.2</v>
      </c>
      <c r="G14" s="2">
        <v>498</v>
      </c>
      <c r="H14" s="2">
        <v>-6.6</v>
      </c>
    </row>
    <row r="15" spans="1:8" x14ac:dyDescent="0.25">
      <c r="A15" s="3" t="s">
        <v>50</v>
      </c>
      <c r="B15" s="3" t="s">
        <v>87</v>
      </c>
      <c r="C15" s="3">
        <v>370</v>
      </c>
      <c r="D15" s="3">
        <v>374</v>
      </c>
      <c r="E15" s="3">
        <v>297556</v>
      </c>
      <c r="F15" s="3">
        <v>1.8</v>
      </c>
      <c r="G15" s="3">
        <v>1281</v>
      </c>
      <c r="H15" s="3">
        <v>4.7</v>
      </c>
    </row>
    <row r="16" spans="1:8" x14ac:dyDescent="0.25">
      <c r="A16" s="2" t="s">
        <v>50</v>
      </c>
      <c r="B16" s="2" t="s">
        <v>88</v>
      </c>
      <c r="C16" s="2">
        <v>190</v>
      </c>
      <c r="D16" s="2">
        <v>203</v>
      </c>
      <c r="E16" s="2">
        <v>88857</v>
      </c>
      <c r="F16" s="2">
        <v>2.1</v>
      </c>
      <c r="G16" s="2">
        <v>2210</v>
      </c>
      <c r="H16" s="2">
        <v>-0.4</v>
      </c>
    </row>
    <row r="17" spans="1:8" x14ac:dyDescent="0.25">
      <c r="A17" s="3" t="s">
        <v>51</v>
      </c>
      <c r="B17" s="3" t="s">
        <v>86</v>
      </c>
      <c r="C17" s="3">
        <v>394</v>
      </c>
      <c r="D17" s="3">
        <v>438</v>
      </c>
      <c r="E17" s="3">
        <v>783416</v>
      </c>
      <c r="F17" s="3">
        <v>4.2</v>
      </c>
      <c r="G17" s="3">
        <v>498</v>
      </c>
      <c r="H17" s="3">
        <v>-6.6</v>
      </c>
    </row>
    <row r="18" spans="1:8" x14ac:dyDescent="0.25">
      <c r="A18" s="2" t="s">
        <v>51</v>
      </c>
      <c r="B18" s="2" t="s">
        <v>87</v>
      </c>
      <c r="C18" s="2">
        <v>378</v>
      </c>
      <c r="D18" s="2">
        <v>374</v>
      </c>
      <c r="E18" s="2">
        <v>296666</v>
      </c>
      <c r="F18" s="2">
        <v>1.8</v>
      </c>
      <c r="G18" s="2">
        <v>1281</v>
      </c>
      <c r="H18" s="2">
        <v>4.7</v>
      </c>
    </row>
    <row r="19" spans="1:8" x14ac:dyDescent="0.25">
      <c r="A19" s="3" t="s">
        <v>51</v>
      </c>
      <c r="B19" s="3" t="s">
        <v>88</v>
      </c>
      <c r="C19" s="3">
        <v>193</v>
      </c>
      <c r="D19" s="3">
        <v>203</v>
      </c>
      <c r="E19" s="3">
        <v>88455</v>
      </c>
      <c r="F19" s="3">
        <v>2.1</v>
      </c>
      <c r="G19" s="3">
        <v>2210</v>
      </c>
      <c r="H19" s="3">
        <v>-0.4</v>
      </c>
    </row>
    <row r="20" spans="1:8" x14ac:dyDescent="0.25">
      <c r="A20" s="2" t="s">
        <v>52</v>
      </c>
      <c r="B20" s="2" t="s">
        <v>86</v>
      </c>
      <c r="C20" s="2">
        <v>380</v>
      </c>
      <c r="D20" s="2">
        <v>438</v>
      </c>
      <c r="E20" s="2">
        <v>782745</v>
      </c>
      <c r="F20" s="2">
        <v>4.2</v>
      </c>
      <c r="G20" s="2">
        <v>498</v>
      </c>
      <c r="H20" s="2">
        <v>-6.6</v>
      </c>
    </row>
    <row r="21" spans="1:8" x14ac:dyDescent="0.25">
      <c r="A21" s="3" t="s">
        <v>52</v>
      </c>
      <c r="B21" s="3" t="s">
        <v>87</v>
      </c>
      <c r="C21" s="3">
        <v>375</v>
      </c>
      <c r="D21" s="3">
        <v>374</v>
      </c>
      <c r="E21" s="3">
        <v>298874</v>
      </c>
      <c r="F21" s="3">
        <v>1.8</v>
      </c>
      <c r="G21" s="3">
        <v>1281</v>
      </c>
      <c r="H21" s="3">
        <v>4.7</v>
      </c>
    </row>
    <row r="22" spans="1:8" x14ac:dyDescent="0.25">
      <c r="A22" s="2" t="s">
        <v>52</v>
      </c>
      <c r="B22" s="2" t="s">
        <v>88</v>
      </c>
      <c r="C22" s="2">
        <v>211</v>
      </c>
      <c r="D22" s="2">
        <v>203</v>
      </c>
      <c r="E22" s="2">
        <v>89799</v>
      </c>
      <c r="F22" s="2">
        <v>2.1</v>
      </c>
      <c r="G22" s="2">
        <v>2210</v>
      </c>
      <c r="H22" s="2">
        <v>-0.4</v>
      </c>
    </row>
    <row r="23" spans="1:8" x14ac:dyDescent="0.25">
      <c r="A23" s="3" t="s">
        <v>53</v>
      </c>
      <c r="B23" s="3" t="s">
        <v>86</v>
      </c>
      <c r="C23" s="3">
        <v>394</v>
      </c>
      <c r="D23" s="3">
        <v>438</v>
      </c>
      <c r="E23" s="3">
        <v>780292</v>
      </c>
      <c r="F23" s="3">
        <v>4.2</v>
      </c>
      <c r="G23" s="3">
        <v>498</v>
      </c>
      <c r="H23" s="3">
        <v>-6.6</v>
      </c>
    </row>
    <row r="24" spans="1:8" x14ac:dyDescent="0.25">
      <c r="A24" s="2" t="s">
        <v>53</v>
      </c>
      <c r="B24" s="2" t="s">
        <v>87</v>
      </c>
      <c r="C24" s="2">
        <v>386</v>
      </c>
      <c r="D24" s="2">
        <v>374</v>
      </c>
      <c r="E24" s="2">
        <v>298600</v>
      </c>
      <c r="F24" s="2">
        <v>1.8</v>
      </c>
      <c r="G24" s="2">
        <v>1281</v>
      </c>
      <c r="H24" s="2">
        <v>4.7</v>
      </c>
    </row>
    <row r="25" spans="1:8" x14ac:dyDescent="0.25">
      <c r="A25" s="3" t="s">
        <v>53</v>
      </c>
      <c r="B25" s="3" t="s">
        <v>88</v>
      </c>
      <c r="C25" s="3">
        <v>187</v>
      </c>
      <c r="D25" s="3">
        <v>203</v>
      </c>
      <c r="E25" s="3">
        <v>89187</v>
      </c>
      <c r="F25" s="3">
        <v>2.1</v>
      </c>
      <c r="G25" s="3">
        <v>2210</v>
      </c>
      <c r="H25" s="3">
        <v>-0.4</v>
      </c>
    </row>
    <row r="26" spans="1:8" x14ac:dyDescent="0.25">
      <c r="A26" s="2" t="s">
        <v>54</v>
      </c>
      <c r="B26" s="2" t="s">
        <v>86</v>
      </c>
      <c r="C26" s="2">
        <v>397</v>
      </c>
      <c r="D26" s="2">
        <v>438</v>
      </c>
      <c r="E26" s="2">
        <v>781002</v>
      </c>
      <c r="F26" s="2">
        <v>4.2</v>
      </c>
      <c r="G26" s="2">
        <v>498</v>
      </c>
      <c r="H26" s="2">
        <v>-6.6</v>
      </c>
    </row>
    <row r="27" spans="1:8" x14ac:dyDescent="0.25">
      <c r="A27" s="3" t="s">
        <v>54</v>
      </c>
      <c r="B27" s="3" t="s">
        <v>87</v>
      </c>
      <c r="C27" s="3">
        <v>372</v>
      </c>
      <c r="D27" s="3">
        <v>374</v>
      </c>
      <c r="E27" s="3">
        <v>297893</v>
      </c>
      <c r="F27" s="3">
        <v>1.8</v>
      </c>
      <c r="G27" s="3">
        <v>1281</v>
      </c>
      <c r="H27" s="3">
        <v>4.7</v>
      </c>
    </row>
    <row r="28" spans="1:8" x14ac:dyDescent="0.25">
      <c r="A28" s="2" t="s">
        <v>54</v>
      </c>
      <c r="B28" s="2" t="s">
        <v>88</v>
      </c>
      <c r="C28" s="2">
        <v>194</v>
      </c>
      <c r="D28" s="2">
        <v>203</v>
      </c>
      <c r="E28" s="2">
        <v>88105</v>
      </c>
      <c r="F28" s="2">
        <v>2.1</v>
      </c>
      <c r="G28" s="2">
        <v>2210</v>
      </c>
      <c r="H28" s="2">
        <v>-0.4</v>
      </c>
    </row>
    <row r="29" spans="1:8" x14ac:dyDescent="0.25">
      <c r="A29" s="3" t="s">
        <v>8</v>
      </c>
      <c r="B29" s="3" t="s">
        <v>86</v>
      </c>
      <c r="C29" s="3">
        <v>403</v>
      </c>
      <c r="D29" s="3">
        <v>438</v>
      </c>
      <c r="E29" s="3">
        <v>782621</v>
      </c>
      <c r="F29" s="3">
        <v>4.2</v>
      </c>
      <c r="G29" s="3">
        <v>498</v>
      </c>
      <c r="H29" s="3">
        <v>-6.6</v>
      </c>
    </row>
    <row r="30" spans="1:8" x14ac:dyDescent="0.25">
      <c r="A30" s="2" t="s">
        <v>8</v>
      </c>
      <c r="B30" s="2" t="s">
        <v>87</v>
      </c>
      <c r="C30" s="2">
        <v>389</v>
      </c>
      <c r="D30" s="2">
        <v>374</v>
      </c>
      <c r="E30" s="2">
        <v>298281</v>
      </c>
      <c r="F30" s="2">
        <v>1.8</v>
      </c>
      <c r="G30" s="2">
        <v>1281</v>
      </c>
      <c r="H30" s="2">
        <v>4.7</v>
      </c>
    </row>
    <row r="31" spans="1:8" x14ac:dyDescent="0.25">
      <c r="A31" s="3" t="s">
        <v>8</v>
      </c>
      <c r="B31" s="3" t="s">
        <v>88</v>
      </c>
      <c r="C31" s="3">
        <v>189</v>
      </c>
      <c r="D31" s="3">
        <v>203</v>
      </c>
      <c r="E31" s="3">
        <v>89804</v>
      </c>
      <c r="F31" s="3">
        <v>2.1</v>
      </c>
      <c r="G31" s="3">
        <v>2210</v>
      </c>
      <c r="H31" s="3">
        <v>-0.4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61"/>
  <sheetViews>
    <sheetView zoomScaleNormal="100" workbookViewId="0">
      <selection activeCell="D6" sqref="D6"/>
    </sheetView>
  </sheetViews>
  <sheetFormatPr defaultColWidth="8.7109375" defaultRowHeight="15" x14ac:dyDescent="0.25"/>
  <cols>
    <col min="1" max="1" width="16" customWidth="1"/>
    <col min="2" max="2" width="22" customWidth="1"/>
    <col min="3" max="9" width="16" customWidth="1"/>
  </cols>
  <sheetData>
    <row r="1" spans="1:9" x14ac:dyDescent="0.25">
      <c r="A1" s="1" t="s">
        <v>0</v>
      </c>
      <c r="B1" s="1" t="s">
        <v>81</v>
      </c>
      <c r="C1" s="1" t="s">
        <v>10</v>
      </c>
      <c r="D1" s="1" t="s">
        <v>40</v>
      </c>
      <c r="E1" s="1" t="s">
        <v>89</v>
      </c>
      <c r="F1" s="1" t="s">
        <v>90</v>
      </c>
      <c r="G1" s="1" t="s">
        <v>91</v>
      </c>
      <c r="H1" s="1" t="s">
        <v>92</v>
      </c>
      <c r="I1" s="1" t="s">
        <v>93</v>
      </c>
    </row>
    <row r="2" spans="1:9" x14ac:dyDescent="0.25">
      <c r="A2" s="2" t="s">
        <v>46</v>
      </c>
      <c r="B2" s="2" t="s">
        <v>94</v>
      </c>
      <c r="C2" s="2">
        <v>85</v>
      </c>
      <c r="D2" s="2">
        <v>93</v>
      </c>
      <c r="E2" s="2">
        <v>81</v>
      </c>
      <c r="F2" s="2">
        <v>91.8</v>
      </c>
      <c r="G2" s="2">
        <v>70</v>
      </c>
      <c r="H2" s="2">
        <v>64.599999999999994</v>
      </c>
      <c r="I2" s="2">
        <v>7</v>
      </c>
    </row>
    <row r="3" spans="1:9" x14ac:dyDescent="0.25">
      <c r="A3" s="3" t="s">
        <v>46</v>
      </c>
      <c r="B3" s="3" t="s">
        <v>95</v>
      </c>
      <c r="C3" s="3">
        <v>37</v>
      </c>
      <c r="D3" s="3">
        <v>63</v>
      </c>
      <c r="E3" s="3">
        <v>36</v>
      </c>
      <c r="F3" s="3">
        <v>90.5</v>
      </c>
      <c r="G3" s="3">
        <v>33</v>
      </c>
      <c r="H3" s="3">
        <v>31.9</v>
      </c>
      <c r="I3" s="3">
        <v>4</v>
      </c>
    </row>
    <row r="4" spans="1:9" x14ac:dyDescent="0.25">
      <c r="A4" s="2" t="s">
        <v>46</v>
      </c>
      <c r="B4" s="2" t="s">
        <v>96</v>
      </c>
      <c r="C4" s="2">
        <v>33</v>
      </c>
      <c r="D4" s="2">
        <v>47</v>
      </c>
      <c r="E4" s="2">
        <v>37</v>
      </c>
      <c r="F4" s="2">
        <v>89.5</v>
      </c>
      <c r="G4" s="2">
        <v>30</v>
      </c>
      <c r="H4" s="2">
        <v>28.9</v>
      </c>
      <c r="I4" s="2">
        <v>4</v>
      </c>
    </row>
    <row r="5" spans="1:9" x14ac:dyDescent="0.25">
      <c r="A5" s="3" t="s">
        <v>46</v>
      </c>
      <c r="B5" s="3" t="s">
        <v>97</v>
      </c>
      <c r="C5" s="3">
        <v>55</v>
      </c>
      <c r="D5" s="3">
        <v>50</v>
      </c>
      <c r="E5" s="3">
        <v>50</v>
      </c>
      <c r="F5" s="3">
        <v>90.9</v>
      </c>
      <c r="G5" s="3">
        <v>45</v>
      </c>
      <c r="H5" s="3">
        <v>41.8</v>
      </c>
      <c r="I5" s="3">
        <v>5</v>
      </c>
    </row>
    <row r="6" spans="1:9" x14ac:dyDescent="0.25">
      <c r="A6" s="2" t="s">
        <v>46</v>
      </c>
      <c r="B6" s="2" t="s">
        <v>98</v>
      </c>
      <c r="C6" s="2">
        <v>21</v>
      </c>
      <c r="D6" s="2">
        <v>15</v>
      </c>
      <c r="E6" s="2">
        <v>17</v>
      </c>
      <c r="F6" s="2">
        <v>90.9</v>
      </c>
      <c r="G6" s="2">
        <v>18</v>
      </c>
      <c r="H6" s="2">
        <v>16.7</v>
      </c>
      <c r="I6" s="2">
        <v>2</v>
      </c>
    </row>
    <row r="7" spans="1:9" x14ac:dyDescent="0.25">
      <c r="A7" s="3" t="s">
        <v>46</v>
      </c>
      <c r="B7" s="3" t="s">
        <v>74</v>
      </c>
      <c r="C7" s="3">
        <v>26</v>
      </c>
      <c r="D7" s="3">
        <v>30</v>
      </c>
      <c r="E7" s="3">
        <v>26</v>
      </c>
      <c r="F7" s="3">
        <v>89.3</v>
      </c>
      <c r="G7" s="3">
        <v>22</v>
      </c>
      <c r="H7" s="3">
        <v>21.3</v>
      </c>
      <c r="I7" s="3">
        <v>3</v>
      </c>
    </row>
    <row r="8" spans="1:9" x14ac:dyDescent="0.25">
      <c r="A8" s="2" t="s">
        <v>47</v>
      </c>
      <c r="B8" s="2" t="s">
        <v>94</v>
      </c>
      <c r="C8" s="2">
        <v>85</v>
      </c>
      <c r="D8" s="2">
        <v>93</v>
      </c>
      <c r="E8" s="2">
        <v>76</v>
      </c>
      <c r="F8" s="2">
        <v>91.8</v>
      </c>
      <c r="G8" s="2">
        <v>70</v>
      </c>
      <c r="H8" s="2">
        <v>64.599999999999994</v>
      </c>
      <c r="I8" s="2">
        <v>7</v>
      </c>
    </row>
    <row r="9" spans="1:9" x14ac:dyDescent="0.25">
      <c r="A9" s="3" t="s">
        <v>47</v>
      </c>
      <c r="B9" s="3" t="s">
        <v>95</v>
      </c>
      <c r="C9" s="3">
        <v>47</v>
      </c>
      <c r="D9" s="3">
        <v>63</v>
      </c>
      <c r="E9" s="3">
        <v>38</v>
      </c>
      <c r="F9" s="3">
        <v>90.5</v>
      </c>
      <c r="G9" s="3">
        <v>33</v>
      </c>
      <c r="H9" s="3">
        <v>31.9</v>
      </c>
      <c r="I9" s="3">
        <v>4</v>
      </c>
    </row>
    <row r="10" spans="1:9" x14ac:dyDescent="0.25">
      <c r="A10" s="2" t="s">
        <v>47</v>
      </c>
      <c r="B10" s="2" t="s">
        <v>96</v>
      </c>
      <c r="C10" s="2">
        <v>39</v>
      </c>
      <c r="D10" s="2">
        <v>47</v>
      </c>
      <c r="E10" s="2">
        <v>36</v>
      </c>
      <c r="F10" s="2">
        <v>89.5</v>
      </c>
      <c r="G10" s="2">
        <v>30</v>
      </c>
      <c r="H10" s="2">
        <v>28.9</v>
      </c>
      <c r="I10" s="2">
        <v>4</v>
      </c>
    </row>
    <row r="11" spans="1:9" x14ac:dyDescent="0.25">
      <c r="A11" s="3" t="s">
        <v>47</v>
      </c>
      <c r="B11" s="3" t="s">
        <v>97</v>
      </c>
      <c r="C11" s="3">
        <v>57</v>
      </c>
      <c r="D11" s="3">
        <v>50</v>
      </c>
      <c r="E11" s="3">
        <v>48</v>
      </c>
      <c r="F11" s="3">
        <v>90.9</v>
      </c>
      <c r="G11" s="3">
        <v>45</v>
      </c>
      <c r="H11" s="3">
        <v>41.8</v>
      </c>
      <c r="I11" s="3">
        <v>5</v>
      </c>
    </row>
    <row r="12" spans="1:9" x14ac:dyDescent="0.25">
      <c r="A12" s="2" t="s">
        <v>47</v>
      </c>
      <c r="B12" s="2" t="s">
        <v>98</v>
      </c>
      <c r="C12" s="2">
        <v>21</v>
      </c>
      <c r="D12" s="2">
        <v>15</v>
      </c>
      <c r="E12" s="2">
        <v>18</v>
      </c>
      <c r="F12" s="2">
        <v>90.9</v>
      </c>
      <c r="G12" s="2">
        <v>18</v>
      </c>
      <c r="H12" s="2">
        <v>16.7</v>
      </c>
      <c r="I12" s="2">
        <v>2</v>
      </c>
    </row>
    <row r="13" spans="1:9" x14ac:dyDescent="0.25">
      <c r="A13" s="3" t="s">
        <v>47</v>
      </c>
      <c r="B13" s="3" t="s">
        <v>74</v>
      </c>
      <c r="C13" s="3">
        <v>26</v>
      </c>
      <c r="D13" s="3">
        <v>30</v>
      </c>
      <c r="E13" s="3">
        <v>27</v>
      </c>
      <c r="F13" s="3">
        <v>89.3</v>
      </c>
      <c r="G13" s="3">
        <v>22</v>
      </c>
      <c r="H13" s="3">
        <v>21.3</v>
      </c>
      <c r="I13" s="3">
        <v>3</v>
      </c>
    </row>
    <row r="14" spans="1:9" x14ac:dyDescent="0.25">
      <c r="A14" s="2" t="s">
        <v>48</v>
      </c>
      <c r="B14" s="2" t="s">
        <v>94</v>
      </c>
      <c r="C14" s="2">
        <v>88</v>
      </c>
      <c r="D14" s="2">
        <v>93</v>
      </c>
      <c r="E14" s="2">
        <v>79</v>
      </c>
      <c r="F14" s="2">
        <v>91.8</v>
      </c>
      <c r="G14" s="2">
        <v>70</v>
      </c>
      <c r="H14" s="2">
        <v>64.599999999999994</v>
      </c>
      <c r="I14" s="2">
        <v>7</v>
      </c>
    </row>
    <row r="15" spans="1:9" x14ac:dyDescent="0.25">
      <c r="A15" s="3" t="s">
        <v>48</v>
      </c>
      <c r="B15" s="3" t="s">
        <v>95</v>
      </c>
      <c r="C15" s="3">
        <v>41</v>
      </c>
      <c r="D15" s="3">
        <v>63</v>
      </c>
      <c r="E15" s="3">
        <v>40</v>
      </c>
      <c r="F15" s="3">
        <v>90.5</v>
      </c>
      <c r="G15" s="3">
        <v>33</v>
      </c>
      <c r="H15" s="3">
        <v>31.9</v>
      </c>
      <c r="I15" s="3">
        <v>4</v>
      </c>
    </row>
    <row r="16" spans="1:9" x14ac:dyDescent="0.25">
      <c r="A16" s="2" t="s">
        <v>48</v>
      </c>
      <c r="B16" s="2" t="s">
        <v>96</v>
      </c>
      <c r="C16" s="2">
        <v>42</v>
      </c>
      <c r="D16" s="2">
        <v>47</v>
      </c>
      <c r="E16" s="2">
        <v>34</v>
      </c>
      <c r="F16" s="2">
        <v>89.5</v>
      </c>
      <c r="G16" s="2">
        <v>30</v>
      </c>
      <c r="H16" s="2">
        <v>28.9</v>
      </c>
      <c r="I16" s="2">
        <v>4</v>
      </c>
    </row>
    <row r="17" spans="1:9" x14ac:dyDescent="0.25">
      <c r="A17" s="3" t="s">
        <v>48</v>
      </c>
      <c r="B17" s="3" t="s">
        <v>97</v>
      </c>
      <c r="C17" s="3">
        <v>59</v>
      </c>
      <c r="D17" s="3">
        <v>50</v>
      </c>
      <c r="E17" s="3">
        <v>50</v>
      </c>
      <c r="F17" s="3">
        <v>90.9</v>
      </c>
      <c r="G17" s="3">
        <v>45</v>
      </c>
      <c r="H17" s="3">
        <v>41.8</v>
      </c>
      <c r="I17" s="3">
        <v>5</v>
      </c>
    </row>
    <row r="18" spans="1:9" x14ac:dyDescent="0.25">
      <c r="A18" s="2" t="s">
        <v>48</v>
      </c>
      <c r="B18" s="2" t="s">
        <v>98</v>
      </c>
      <c r="C18" s="2">
        <v>22</v>
      </c>
      <c r="D18" s="2">
        <v>15</v>
      </c>
      <c r="E18" s="2">
        <v>18</v>
      </c>
      <c r="F18" s="2">
        <v>90.9</v>
      </c>
      <c r="G18" s="2">
        <v>18</v>
      </c>
      <c r="H18" s="2">
        <v>16.7</v>
      </c>
      <c r="I18" s="2">
        <v>2</v>
      </c>
    </row>
    <row r="19" spans="1:9" x14ac:dyDescent="0.25">
      <c r="A19" s="3" t="s">
        <v>48</v>
      </c>
      <c r="B19" s="3" t="s">
        <v>74</v>
      </c>
      <c r="C19" s="3">
        <v>25</v>
      </c>
      <c r="D19" s="3">
        <v>30</v>
      </c>
      <c r="E19" s="3">
        <v>26</v>
      </c>
      <c r="F19" s="3">
        <v>89.3</v>
      </c>
      <c r="G19" s="3">
        <v>22</v>
      </c>
      <c r="H19" s="3">
        <v>21.3</v>
      </c>
      <c r="I19" s="3">
        <v>3</v>
      </c>
    </row>
    <row r="20" spans="1:9" x14ac:dyDescent="0.25">
      <c r="A20" s="2" t="s">
        <v>49</v>
      </c>
      <c r="B20" s="2" t="s">
        <v>94</v>
      </c>
      <c r="C20" s="2">
        <v>87</v>
      </c>
      <c r="D20" s="2">
        <v>93</v>
      </c>
      <c r="E20" s="2">
        <v>75</v>
      </c>
      <c r="F20" s="2">
        <v>91.8</v>
      </c>
      <c r="G20" s="2">
        <v>70</v>
      </c>
      <c r="H20" s="2">
        <v>64.599999999999994</v>
      </c>
      <c r="I20" s="2">
        <v>7</v>
      </c>
    </row>
    <row r="21" spans="1:9" x14ac:dyDescent="0.25">
      <c r="A21" s="3" t="s">
        <v>49</v>
      </c>
      <c r="B21" s="3" t="s">
        <v>95</v>
      </c>
      <c r="C21" s="3">
        <v>37</v>
      </c>
      <c r="D21" s="3">
        <v>63</v>
      </c>
      <c r="E21" s="3">
        <v>41</v>
      </c>
      <c r="F21" s="3">
        <v>90.5</v>
      </c>
      <c r="G21" s="3">
        <v>33</v>
      </c>
      <c r="H21" s="3">
        <v>31.9</v>
      </c>
      <c r="I21" s="3">
        <v>4</v>
      </c>
    </row>
    <row r="22" spans="1:9" x14ac:dyDescent="0.25">
      <c r="A22" s="2" t="s">
        <v>49</v>
      </c>
      <c r="B22" s="2" t="s">
        <v>96</v>
      </c>
      <c r="C22" s="2">
        <v>34</v>
      </c>
      <c r="D22" s="2">
        <v>47</v>
      </c>
      <c r="E22" s="2">
        <v>32</v>
      </c>
      <c r="F22" s="2">
        <v>89.5</v>
      </c>
      <c r="G22" s="2">
        <v>30</v>
      </c>
      <c r="H22" s="2">
        <v>28.9</v>
      </c>
      <c r="I22" s="2">
        <v>4</v>
      </c>
    </row>
    <row r="23" spans="1:9" x14ac:dyDescent="0.25">
      <c r="A23" s="3" t="s">
        <v>49</v>
      </c>
      <c r="B23" s="3" t="s">
        <v>97</v>
      </c>
      <c r="C23" s="3">
        <v>60</v>
      </c>
      <c r="D23" s="3">
        <v>50</v>
      </c>
      <c r="E23" s="3">
        <v>48</v>
      </c>
      <c r="F23" s="3">
        <v>90.9</v>
      </c>
      <c r="G23" s="3">
        <v>45</v>
      </c>
      <c r="H23" s="3">
        <v>41.8</v>
      </c>
      <c r="I23" s="3">
        <v>5</v>
      </c>
    </row>
    <row r="24" spans="1:9" x14ac:dyDescent="0.25">
      <c r="A24" s="2" t="s">
        <v>49</v>
      </c>
      <c r="B24" s="2" t="s">
        <v>98</v>
      </c>
      <c r="C24" s="2">
        <v>27</v>
      </c>
      <c r="D24" s="2">
        <v>15</v>
      </c>
      <c r="E24" s="2">
        <v>20</v>
      </c>
      <c r="F24" s="2">
        <v>90.9</v>
      </c>
      <c r="G24" s="2">
        <v>18</v>
      </c>
      <c r="H24" s="2">
        <v>16.7</v>
      </c>
      <c r="I24" s="2">
        <v>2</v>
      </c>
    </row>
    <row r="25" spans="1:9" x14ac:dyDescent="0.25">
      <c r="A25" s="3" t="s">
        <v>49</v>
      </c>
      <c r="B25" s="3" t="s">
        <v>74</v>
      </c>
      <c r="C25" s="3">
        <v>32</v>
      </c>
      <c r="D25" s="3">
        <v>30</v>
      </c>
      <c r="E25" s="3">
        <v>22</v>
      </c>
      <c r="F25" s="3">
        <v>89.3</v>
      </c>
      <c r="G25" s="3">
        <v>22</v>
      </c>
      <c r="H25" s="3">
        <v>21.3</v>
      </c>
      <c r="I25" s="3">
        <v>3</v>
      </c>
    </row>
    <row r="26" spans="1:9" x14ac:dyDescent="0.25">
      <c r="A26" s="2" t="s">
        <v>50</v>
      </c>
      <c r="B26" s="2" t="s">
        <v>94</v>
      </c>
      <c r="C26" s="2">
        <v>86</v>
      </c>
      <c r="D26" s="2">
        <v>93</v>
      </c>
      <c r="E26" s="2">
        <v>78</v>
      </c>
      <c r="F26" s="2">
        <v>91.8</v>
      </c>
      <c r="G26" s="2">
        <v>70</v>
      </c>
      <c r="H26" s="2">
        <v>64.599999999999994</v>
      </c>
      <c r="I26" s="2">
        <v>7</v>
      </c>
    </row>
    <row r="27" spans="1:9" x14ac:dyDescent="0.25">
      <c r="A27" s="3" t="s">
        <v>50</v>
      </c>
      <c r="B27" s="3" t="s">
        <v>95</v>
      </c>
      <c r="C27" s="3">
        <v>46</v>
      </c>
      <c r="D27" s="3">
        <v>63</v>
      </c>
      <c r="E27" s="3">
        <v>38</v>
      </c>
      <c r="F27" s="3">
        <v>90.5</v>
      </c>
      <c r="G27" s="3">
        <v>33</v>
      </c>
      <c r="H27" s="3">
        <v>31.9</v>
      </c>
      <c r="I27" s="3">
        <v>4</v>
      </c>
    </row>
    <row r="28" spans="1:9" x14ac:dyDescent="0.25">
      <c r="A28" s="2" t="s">
        <v>50</v>
      </c>
      <c r="B28" s="2" t="s">
        <v>96</v>
      </c>
      <c r="C28" s="2">
        <v>41</v>
      </c>
      <c r="D28" s="2">
        <v>47</v>
      </c>
      <c r="E28" s="2">
        <v>33</v>
      </c>
      <c r="F28" s="2">
        <v>89.5</v>
      </c>
      <c r="G28" s="2">
        <v>30</v>
      </c>
      <c r="H28" s="2">
        <v>28.9</v>
      </c>
      <c r="I28" s="2">
        <v>4</v>
      </c>
    </row>
    <row r="29" spans="1:9" x14ac:dyDescent="0.25">
      <c r="A29" s="3" t="s">
        <v>50</v>
      </c>
      <c r="B29" s="3" t="s">
        <v>97</v>
      </c>
      <c r="C29" s="3">
        <v>58</v>
      </c>
      <c r="D29" s="3">
        <v>50</v>
      </c>
      <c r="E29" s="3">
        <v>53</v>
      </c>
      <c r="F29" s="3">
        <v>90.9</v>
      </c>
      <c r="G29" s="3">
        <v>45</v>
      </c>
      <c r="H29" s="3">
        <v>41.8</v>
      </c>
      <c r="I29" s="3">
        <v>5</v>
      </c>
    </row>
    <row r="30" spans="1:9" x14ac:dyDescent="0.25">
      <c r="A30" s="2" t="s">
        <v>50</v>
      </c>
      <c r="B30" s="2" t="s">
        <v>98</v>
      </c>
      <c r="C30" s="2">
        <v>17</v>
      </c>
      <c r="D30" s="2">
        <v>15</v>
      </c>
      <c r="E30" s="2">
        <v>22</v>
      </c>
      <c r="F30" s="2">
        <v>90.9</v>
      </c>
      <c r="G30" s="2">
        <v>18</v>
      </c>
      <c r="H30" s="2">
        <v>16.7</v>
      </c>
      <c r="I30" s="2">
        <v>2</v>
      </c>
    </row>
    <row r="31" spans="1:9" x14ac:dyDescent="0.25">
      <c r="A31" s="3" t="s">
        <v>50</v>
      </c>
      <c r="B31" s="3" t="s">
        <v>74</v>
      </c>
      <c r="C31" s="3">
        <v>24</v>
      </c>
      <c r="D31" s="3">
        <v>30</v>
      </c>
      <c r="E31" s="3">
        <v>27</v>
      </c>
      <c r="F31" s="3">
        <v>89.3</v>
      </c>
      <c r="G31" s="3">
        <v>22</v>
      </c>
      <c r="H31" s="3">
        <v>21.3</v>
      </c>
      <c r="I31" s="3">
        <v>3</v>
      </c>
    </row>
    <row r="32" spans="1:9" x14ac:dyDescent="0.25">
      <c r="A32" s="2" t="s">
        <v>51</v>
      </c>
      <c r="B32" s="2" t="s">
        <v>94</v>
      </c>
      <c r="C32" s="2">
        <v>88</v>
      </c>
      <c r="D32" s="2">
        <v>93</v>
      </c>
      <c r="E32" s="2">
        <v>81</v>
      </c>
      <c r="F32" s="2">
        <v>91.8</v>
      </c>
      <c r="G32" s="2">
        <v>70</v>
      </c>
      <c r="H32" s="2">
        <v>64.599999999999994</v>
      </c>
      <c r="I32" s="2">
        <v>7</v>
      </c>
    </row>
    <row r="33" spans="1:9" x14ac:dyDescent="0.25">
      <c r="A33" s="3" t="s">
        <v>51</v>
      </c>
      <c r="B33" s="3" t="s">
        <v>95</v>
      </c>
      <c r="C33" s="3">
        <v>41</v>
      </c>
      <c r="D33" s="3">
        <v>63</v>
      </c>
      <c r="E33" s="3">
        <v>41</v>
      </c>
      <c r="F33" s="3">
        <v>90.5</v>
      </c>
      <c r="G33" s="3">
        <v>33</v>
      </c>
      <c r="H33" s="3">
        <v>31.9</v>
      </c>
      <c r="I33" s="3">
        <v>4</v>
      </c>
    </row>
    <row r="34" spans="1:9" x14ac:dyDescent="0.25">
      <c r="A34" s="2" t="s">
        <v>51</v>
      </c>
      <c r="B34" s="2" t="s">
        <v>96</v>
      </c>
      <c r="C34" s="2">
        <v>43</v>
      </c>
      <c r="D34" s="2">
        <v>47</v>
      </c>
      <c r="E34" s="2">
        <v>33</v>
      </c>
      <c r="F34" s="2">
        <v>89.5</v>
      </c>
      <c r="G34" s="2">
        <v>30</v>
      </c>
      <c r="H34" s="2">
        <v>28.9</v>
      </c>
      <c r="I34" s="2">
        <v>4</v>
      </c>
    </row>
    <row r="35" spans="1:9" x14ac:dyDescent="0.25">
      <c r="A35" s="3" t="s">
        <v>51</v>
      </c>
      <c r="B35" s="3" t="s">
        <v>97</v>
      </c>
      <c r="C35" s="3">
        <v>51</v>
      </c>
      <c r="D35" s="3">
        <v>50</v>
      </c>
      <c r="E35" s="3">
        <v>49</v>
      </c>
      <c r="F35" s="3">
        <v>90.9</v>
      </c>
      <c r="G35" s="3">
        <v>45</v>
      </c>
      <c r="H35" s="3">
        <v>41.8</v>
      </c>
      <c r="I35" s="3">
        <v>5</v>
      </c>
    </row>
    <row r="36" spans="1:9" x14ac:dyDescent="0.25">
      <c r="A36" s="2" t="s">
        <v>51</v>
      </c>
      <c r="B36" s="2" t="s">
        <v>98</v>
      </c>
      <c r="C36" s="2">
        <v>23</v>
      </c>
      <c r="D36" s="2">
        <v>15</v>
      </c>
      <c r="E36" s="2">
        <v>18</v>
      </c>
      <c r="F36" s="2">
        <v>90.9</v>
      </c>
      <c r="G36" s="2">
        <v>18</v>
      </c>
      <c r="H36" s="2">
        <v>16.7</v>
      </c>
      <c r="I36" s="2">
        <v>2</v>
      </c>
    </row>
    <row r="37" spans="1:9" x14ac:dyDescent="0.25">
      <c r="A37" s="3" t="s">
        <v>51</v>
      </c>
      <c r="B37" s="3" t="s">
        <v>74</v>
      </c>
      <c r="C37" s="3">
        <v>30</v>
      </c>
      <c r="D37" s="3">
        <v>30</v>
      </c>
      <c r="E37" s="3">
        <v>22</v>
      </c>
      <c r="F37" s="3">
        <v>89.3</v>
      </c>
      <c r="G37" s="3">
        <v>22</v>
      </c>
      <c r="H37" s="3">
        <v>21.3</v>
      </c>
      <c r="I37" s="3">
        <v>3</v>
      </c>
    </row>
    <row r="38" spans="1:9" x14ac:dyDescent="0.25">
      <c r="A38" s="2" t="s">
        <v>52</v>
      </c>
      <c r="B38" s="2" t="s">
        <v>94</v>
      </c>
      <c r="C38" s="2">
        <v>84</v>
      </c>
      <c r="D38" s="2">
        <v>93</v>
      </c>
      <c r="E38" s="2">
        <v>79</v>
      </c>
      <c r="F38" s="2">
        <v>91.8</v>
      </c>
      <c r="G38" s="2">
        <v>70</v>
      </c>
      <c r="H38" s="2">
        <v>64.599999999999994</v>
      </c>
      <c r="I38" s="2">
        <v>7</v>
      </c>
    </row>
    <row r="39" spans="1:9" x14ac:dyDescent="0.25">
      <c r="A39" s="3" t="s">
        <v>52</v>
      </c>
      <c r="B39" s="3" t="s">
        <v>95</v>
      </c>
      <c r="C39" s="3">
        <v>39</v>
      </c>
      <c r="D39" s="3">
        <v>63</v>
      </c>
      <c r="E39" s="3">
        <v>39</v>
      </c>
      <c r="F39" s="3">
        <v>90.5</v>
      </c>
      <c r="G39" s="3">
        <v>33</v>
      </c>
      <c r="H39" s="3">
        <v>31.9</v>
      </c>
      <c r="I39" s="3">
        <v>4</v>
      </c>
    </row>
    <row r="40" spans="1:9" x14ac:dyDescent="0.25">
      <c r="A40" s="2" t="s">
        <v>52</v>
      </c>
      <c r="B40" s="2" t="s">
        <v>96</v>
      </c>
      <c r="C40" s="2">
        <v>34</v>
      </c>
      <c r="D40" s="2">
        <v>47</v>
      </c>
      <c r="E40" s="2">
        <v>37</v>
      </c>
      <c r="F40" s="2">
        <v>89.5</v>
      </c>
      <c r="G40" s="2">
        <v>30</v>
      </c>
      <c r="H40" s="2">
        <v>28.9</v>
      </c>
      <c r="I40" s="2">
        <v>4</v>
      </c>
    </row>
    <row r="41" spans="1:9" x14ac:dyDescent="0.25">
      <c r="A41" s="3" t="s">
        <v>52</v>
      </c>
      <c r="B41" s="3" t="s">
        <v>97</v>
      </c>
      <c r="C41" s="3">
        <v>60</v>
      </c>
      <c r="D41" s="3">
        <v>50</v>
      </c>
      <c r="E41" s="3">
        <v>49</v>
      </c>
      <c r="F41" s="3">
        <v>90.9</v>
      </c>
      <c r="G41" s="3">
        <v>45</v>
      </c>
      <c r="H41" s="3">
        <v>41.8</v>
      </c>
      <c r="I41" s="3">
        <v>5</v>
      </c>
    </row>
    <row r="42" spans="1:9" x14ac:dyDescent="0.25">
      <c r="A42" s="2" t="s">
        <v>52</v>
      </c>
      <c r="B42" s="2" t="s">
        <v>98</v>
      </c>
      <c r="C42" s="2">
        <v>27</v>
      </c>
      <c r="D42" s="2">
        <v>15</v>
      </c>
      <c r="E42" s="2">
        <v>21</v>
      </c>
      <c r="F42" s="2">
        <v>90.9</v>
      </c>
      <c r="G42" s="2">
        <v>18</v>
      </c>
      <c r="H42" s="2">
        <v>16.7</v>
      </c>
      <c r="I42" s="2">
        <v>2</v>
      </c>
    </row>
    <row r="43" spans="1:9" x14ac:dyDescent="0.25">
      <c r="A43" s="3" t="s">
        <v>52</v>
      </c>
      <c r="B43" s="3" t="s">
        <v>74</v>
      </c>
      <c r="C43" s="3">
        <v>32</v>
      </c>
      <c r="D43" s="3">
        <v>30</v>
      </c>
      <c r="E43" s="3">
        <v>23</v>
      </c>
      <c r="F43" s="3">
        <v>89.3</v>
      </c>
      <c r="G43" s="3">
        <v>22</v>
      </c>
      <c r="H43" s="3">
        <v>21.3</v>
      </c>
      <c r="I43" s="3">
        <v>3</v>
      </c>
    </row>
    <row r="44" spans="1:9" x14ac:dyDescent="0.25">
      <c r="A44" s="2" t="s">
        <v>53</v>
      </c>
      <c r="B44" s="2" t="s">
        <v>94</v>
      </c>
      <c r="C44" s="2">
        <v>82</v>
      </c>
      <c r="D44" s="2">
        <v>93</v>
      </c>
      <c r="E44" s="2">
        <v>77</v>
      </c>
      <c r="F44" s="2">
        <v>91.8</v>
      </c>
      <c r="G44" s="2">
        <v>70</v>
      </c>
      <c r="H44" s="2">
        <v>64.599999999999994</v>
      </c>
      <c r="I44" s="2">
        <v>7</v>
      </c>
    </row>
    <row r="45" spans="1:9" x14ac:dyDescent="0.25">
      <c r="A45" s="3" t="s">
        <v>53</v>
      </c>
      <c r="B45" s="3" t="s">
        <v>95</v>
      </c>
      <c r="C45" s="3">
        <v>39</v>
      </c>
      <c r="D45" s="3">
        <v>63</v>
      </c>
      <c r="E45" s="3">
        <v>39</v>
      </c>
      <c r="F45" s="3">
        <v>90.5</v>
      </c>
      <c r="G45" s="3">
        <v>33</v>
      </c>
      <c r="H45" s="3">
        <v>31.9</v>
      </c>
      <c r="I45" s="3">
        <v>4</v>
      </c>
    </row>
    <row r="46" spans="1:9" x14ac:dyDescent="0.25">
      <c r="A46" s="2" t="s">
        <v>53</v>
      </c>
      <c r="B46" s="2" t="s">
        <v>96</v>
      </c>
      <c r="C46" s="2">
        <v>41</v>
      </c>
      <c r="D46" s="2">
        <v>47</v>
      </c>
      <c r="E46" s="2">
        <v>31</v>
      </c>
      <c r="F46" s="2">
        <v>89.5</v>
      </c>
      <c r="G46" s="2">
        <v>30</v>
      </c>
      <c r="H46" s="2">
        <v>28.9</v>
      </c>
      <c r="I46" s="2">
        <v>4</v>
      </c>
    </row>
    <row r="47" spans="1:9" x14ac:dyDescent="0.25">
      <c r="A47" s="3" t="s">
        <v>53</v>
      </c>
      <c r="B47" s="3" t="s">
        <v>97</v>
      </c>
      <c r="C47" s="3">
        <v>59</v>
      </c>
      <c r="D47" s="3">
        <v>50</v>
      </c>
      <c r="E47" s="3">
        <v>49</v>
      </c>
      <c r="F47" s="3">
        <v>90.9</v>
      </c>
      <c r="G47" s="3">
        <v>45</v>
      </c>
      <c r="H47" s="3">
        <v>41.8</v>
      </c>
      <c r="I47" s="3">
        <v>5</v>
      </c>
    </row>
    <row r="48" spans="1:9" x14ac:dyDescent="0.25">
      <c r="A48" s="2" t="s">
        <v>53</v>
      </c>
      <c r="B48" s="2" t="s">
        <v>98</v>
      </c>
      <c r="C48" s="2">
        <v>24</v>
      </c>
      <c r="D48" s="2">
        <v>15</v>
      </c>
      <c r="E48" s="2">
        <v>17</v>
      </c>
      <c r="F48" s="2">
        <v>90.9</v>
      </c>
      <c r="G48" s="2">
        <v>18</v>
      </c>
      <c r="H48" s="2">
        <v>16.7</v>
      </c>
      <c r="I48" s="2">
        <v>2</v>
      </c>
    </row>
    <row r="49" spans="1:9" x14ac:dyDescent="0.25">
      <c r="A49" s="3" t="s">
        <v>53</v>
      </c>
      <c r="B49" s="3" t="s">
        <v>74</v>
      </c>
      <c r="C49" s="3">
        <v>24</v>
      </c>
      <c r="D49" s="3">
        <v>30</v>
      </c>
      <c r="E49" s="3">
        <v>24</v>
      </c>
      <c r="F49" s="3">
        <v>89.3</v>
      </c>
      <c r="G49" s="3">
        <v>22</v>
      </c>
      <c r="H49" s="3">
        <v>21.3</v>
      </c>
      <c r="I49" s="3">
        <v>3</v>
      </c>
    </row>
    <row r="50" spans="1:9" x14ac:dyDescent="0.25">
      <c r="A50" s="2" t="s">
        <v>54</v>
      </c>
      <c r="B50" s="2" t="s">
        <v>94</v>
      </c>
      <c r="C50" s="2">
        <v>84</v>
      </c>
      <c r="D50" s="2">
        <v>93</v>
      </c>
      <c r="E50" s="2">
        <v>76</v>
      </c>
      <c r="F50" s="2">
        <v>91.8</v>
      </c>
      <c r="G50" s="2">
        <v>70</v>
      </c>
      <c r="H50" s="2">
        <v>64.599999999999994</v>
      </c>
      <c r="I50" s="2">
        <v>7</v>
      </c>
    </row>
    <row r="51" spans="1:9" x14ac:dyDescent="0.25">
      <c r="A51" s="3" t="s">
        <v>54</v>
      </c>
      <c r="B51" s="3" t="s">
        <v>95</v>
      </c>
      <c r="C51" s="3">
        <v>37</v>
      </c>
      <c r="D51" s="3">
        <v>63</v>
      </c>
      <c r="E51" s="3">
        <v>36</v>
      </c>
      <c r="F51" s="3">
        <v>90.5</v>
      </c>
      <c r="G51" s="3">
        <v>33</v>
      </c>
      <c r="H51" s="3">
        <v>31.9</v>
      </c>
      <c r="I51" s="3">
        <v>4</v>
      </c>
    </row>
    <row r="52" spans="1:9" x14ac:dyDescent="0.25">
      <c r="A52" s="2" t="s">
        <v>54</v>
      </c>
      <c r="B52" s="2" t="s">
        <v>96</v>
      </c>
      <c r="C52" s="2">
        <v>42</v>
      </c>
      <c r="D52" s="2">
        <v>47</v>
      </c>
      <c r="E52" s="2">
        <v>31</v>
      </c>
      <c r="F52" s="2">
        <v>89.5</v>
      </c>
      <c r="G52" s="2">
        <v>30</v>
      </c>
      <c r="H52" s="2">
        <v>28.9</v>
      </c>
      <c r="I52" s="2">
        <v>4</v>
      </c>
    </row>
    <row r="53" spans="1:9" x14ac:dyDescent="0.25">
      <c r="A53" s="3" t="s">
        <v>54</v>
      </c>
      <c r="B53" s="3" t="s">
        <v>97</v>
      </c>
      <c r="C53" s="3">
        <v>51</v>
      </c>
      <c r="D53" s="3">
        <v>50</v>
      </c>
      <c r="E53" s="3">
        <v>52</v>
      </c>
      <c r="F53" s="3">
        <v>90.9</v>
      </c>
      <c r="G53" s="3">
        <v>45</v>
      </c>
      <c r="H53" s="3">
        <v>41.8</v>
      </c>
      <c r="I53" s="3">
        <v>5</v>
      </c>
    </row>
    <row r="54" spans="1:9" x14ac:dyDescent="0.25">
      <c r="A54" s="2" t="s">
        <v>54</v>
      </c>
      <c r="B54" s="2" t="s">
        <v>98</v>
      </c>
      <c r="C54" s="2">
        <v>24</v>
      </c>
      <c r="D54" s="2">
        <v>15</v>
      </c>
      <c r="E54" s="2">
        <v>23</v>
      </c>
      <c r="F54" s="2">
        <v>90.9</v>
      </c>
      <c r="G54" s="2">
        <v>18</v>
      </c>
      <c r="H54" s="2">
        <v>16.7</v>
      </c>
      <c r="I54" s="2">
        <v>2</v>
      </c>
    </row>
    <row r="55" spans="1:9" x14ac:dyDescent="0.25">
      <c r="A55" s="3" t="s">
        <v>54</v>
      </c>
      <c r="B55" s="3" t="s">
        <v>74</v>
      </c>
      <c r="C55" s="3">
        <v>24</v>
      </c>
      <c r="D55" s="3">
        <v>30</v>
      </c>
      <c r="E55" s="3">
        <v>28</v>
      </c>
      <c r="F55" s="3">
        <v>89.3</v>
      </c>
      <c r="G55" s="3">
        <v>22</v>
      </c>
      <c r="H55" s="3">
        <v>21.3</v>
      </c>
      <c r="I55" s="3">
        <v>3</v>
      </c>
    </row>
    <row r="56" spans="1:9" x14ac:dyDescent="0.25">
      <c r="A56" s="2" t="s">
        <v>8</v>
      </c>
      <c r="B56" s="2" t="s">
        <v>94</v>
      </c>
      <c r="C56" s="2">
        <v>88</v>
      </c>
      <c r="D56" s="2">
        <v>93</v>
      </c>
      <c r="E56" s="2">
        <v>81</v>
      </c>
      <c r="F56" s="2">
        <v>91.8</v>
      </c>
      <c r="G56" s="2">
        <v>70</v>
      </c>
      <c r="H56" s="2">
        <v>64.599999999999994</v>
      </c>
      <c r="I56" s="2">
        <v>7</v>
      </c>
    </row>
    <row r="57" spans="1:9" x14ac:dyDescent="0.25">
      <c r="A57" s="3" t="s">
        <v>8</v>
      </c>
      <c r="B57" s="3" t="s">
        <v>95</v>
      </c>
      <c r="C57" s="3">
        <v>39</v>
      </c>
      <c r="D57" s="3">
        <v>63</v>
      </c>
      <c r="E57" s="3">
        <v>36</v>
      </c>
      <c r="F57" s="3">
        <v>90.5</v>
      </c>
      <c r="G57" s="3">
        <v>33</v>
      </c>
      <c r="H57" s="3">
        <v>31.9</v>
      </c>
      <c r="I57" s="3">
        <v>4</v>
      </c>
    </row>
    <row r="58" spans="1:9" x14ac:dyDescent="0.25">
      <c r="A58" s="2" t="s">
        <v>8</v>
      </c>
      <c r="B58" s="2" t="s">
        <v>96</v>
      </c>
      <c r="C58" s="2">
        <v>43</v>
      </c>
      <c r="D58" s="2">
        <v>47</v>
      </c>
      <c r="E58" s="2">
        <v>34</v>
      </c>
      <c r="F58" s="2">
        <v>89.5</v>
      </c>
      <c r="G58" s="2">
        <v>30</v>
      </c>
      <c r="H58" s="2">
        <v>28.9</v>
      </c>
      <c r="I58" s="2">
        <v>4</v>
      </c>
    </row>
    <row r="59" spans="1:9" x14ac:dyDescent="0.25">
      <c r="A59" s="3" t="s">
        <v>8</v>
      </c>
      <c r="B59" s="3" t="s">
        <v>97</v>
      </c>
      <c r="C59" s="3">
        <v>58</v>
      </c>
      <c r="D59" s="3">
        <v>50</v>
      </c>
      <c r="E59" s="3">
        <v>48</v>
      </c>
      <c r="F59" s="3">
        <v>90.9</v>
      </c>
      <c r="G59" s="3">
        <v>45</v>
      </c>
      <c r="H59" s="3">
        <v>41.8</v>
      </c>
      <c r="I59" s="3">
        <v>5</v>
      </c>
    </row>
    <row r="60" spans="1:9" x14ac:dyDescent="0.25">
      <c r="A60" s="2" t="s">
        <v>8</v>
      </c>
      <c r="B60" s="2" t="s">
        <v>98</v>
      </c>
      <c r="C60" s="2">
        <v>21</v>
      </c>
      <c r="D60" s="2">
        <v>15</v>
      </c>
      <c r="E60" s="2">
        <v>21</v>
      </c>
      <c r="F60" s="2">
        <v>90.9</v>
      </c>
      <c r="G60" s="2">
        <v>18</v>
      </c>
      <c r="H60" s="2">
        <v>16.7</v>
      </c>
      <c r="I60" s="2">
        <v>2</v>
      </c>
    </row>
    <row r="61" spans="1:9" x14ac:dyDescent="0.25">
      <c r="A61" s="3" t="s">
        <v>8</v>
      </c>
      <c r="B61" s="3" t="s">
        <v>74</v>
      </c>
      <c r="C61" s="3">
        <v>32</v>
      </c>
      <c r="D61" s="3">
        <v>30</v>
      </c>
      <c r="E61" s="3">
        <v>25</v>
      </c>
      <c r="F61" s="3">
        <v>89.3</v>
      </c>
      <c r="G61" s="3">
        <v>22</v>
      </c>
      <c r="H61" s="3">
        <v>21.3</v>
      </c>
      <c r="I61" s="3">
        <v>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6"/>
  <sheetViews>
    <sheetView zoomScaleNormal="100" workbookViewId="0"/>
  </sheetViews>
  <sheetFormatPr defaultColWidth="8.7109375" defaultRowHeight="15" x14ac:dyDescent="0.25"/>
  <cols>
    <col min="1" max="6" width="18" customWidth="1"/>
  </cols>
  <sheetData>
    <row r="1" spans="1:6" x14ac:dyDescent="0.25">
      <c r="A1" s="1" t="s">
        <v>0</v>
      </c>
      <c r="B1" s="1" t="s">
        <v>99</v>
      </c>
      <c r="C1" s="1" t="s">
        <v>100</v>
      </c>
      <c r="D1" s="1" t="s">
        <v>101</v>
      </c>
      <c r="E1" s="1" t="s">
        <v>102</v>
      </c>
      <c r="F1" s="1" t="s">
        <v>103</v>
      </c>
    </row>
    <row r="2" spans="1:6" x14ac:dyDescent="0.25">
      <c r="A2" s="2" t="s">
        <v>53</v>
      </c>
      <c r="B2" s="2" t="s">
        <v>104</v>
      </c>
      <c r="C2" s="2">
        <v>140</v>
      </c>
      <c r="D2" s="2">
        <v>317</v>
      </c>
      <c r="E2" s="2">
        <v>2.2000000000000002</v>
      </c>
      <c r="F2" s="2"/>
    </row>
    <row r="3" spans="1:6" x14ac:dyDescent="0.25">
      <c r="A3" s="3" t="s">
        <v>53</v>
      </c>
      <c r="B3" s="3" t="s">
        <v>105</v>
      </c>
      <c r="C3" s="3">
        <v>66</v>
      </c>
      <c r="D3" s="3">
        <v>194</v>
      </c>
      <c r="E3" s="3">
        <v>2.9</v>
      </c>
      <c r="F3" s="3">
        <v>47.9</v>
      </c>
    </row>
    <row r="4" spans="1:6" x14ac:dyDescent="0.25">
      <c r="A4" s="2" t="s">
        <v>53</v>
      </c>
      <c r="B4" s="2" t="s">
        <v>106</v>
      </c>
      <c r="C4" s="2">
        <v>35</v>
      </c>
      <c r="D4" s="2">
        <v>152</v>
      </c>
      <c r="E4" s="2">
        <v>4.2</v>
      </c>
      <c r="F4" s="2">
        <v>50</v>
      </c>
    </row>
    <row r="5" spans="1:6" x14ac:dyDescent="0.25">
      <c r="A5" s="3" t="s">
        <v>53</v>
      </c>
      <c r="B5" s="3" t="s">
        <v>107</v>
      </c>
      <c r="C5" s="3">
        <v>18</v>
      </c>
      <c r="D5" s="3">
        <v>102</v>
      </c>
      <c r="E5" s="3">
        <v>5.4</v>
      </c>
      <c r="F5" s="3">
        <v>52.9</v>
      </c>
    </row>
    <row r="6" spans="1:6" x14ac:dyDescent="0.25">
      <c r="A6" s="2" t="s">
        <v>53</v>
      </c>
      <c r="B6" s="2" t="s">
        <v>108</v>
      </c>
      <c r="C6" s="2">
        <v>16</v>
      </c>
      <c r="D6" s="2">
        <v>91</v>
      </c>
      <c r="E6" s="2">
        <v>6.7</v>
      </c>
      <c r="F6" s="2">
        <v>72.2</v>
      </c>
    </row>
    <row r="7" spans="1:6" x14ac:dyDescent="0.25">
      <c r="A7" s="3" t="s">
        <v>54</v>
      </c>
      <c r="B7" s="3" t="s">
        <v>104</v>
      </c>
      <c r="C7" s="3">
        <v>138</v>
      </c>
      <c r="D7" s="3">
        <v>307</v>
      </c>
      <c r="E7" s="3">
        <v>2.2000000000000002</v>
      </c>
      <c r="F7" s="3"/>
    </row>
    <row r="8" spans="1:6" x14ac:dyDescent="0.25">
      <c r="A8" s="2" t="s">
        <v>54</v>
      </c>
      <c r="B8" s="2" t="s">
        <v>105</v>
      </c>
      <c r="C8" s="2">
        <v>66</v>
      </c>
      <c r="D8" s="2">
        <v>187</v>
      </c>
      <c r="E8" s="2">
        <v>2.9</v>
      </c>
      <c r="F8" s="2">
        <v>47.9</v>
      </c>
    </row>
    <row r="9" spans="1:6" x14ac:dyDescent="0.25">
      <c r="A9" s="3" t="s">
        <v>54</v>
      </c>
      <c r="B9" s="3" t="s">
        <v>106</v>
      </c>
      <c r="C9" s="3">
        <v>34</v>
      </c>
      <c r="D9" s="3">
        <v>132</v>
      </c>
      <c r="E9" s="3">
        <v>4.2</v>
      </c>
      <c r="F9" s="3">
        <v>50</v>
      </c>
    </row>
    <row r="10" spans="1:6" x14ac:dyDescent="0.25">
      <c r="A10" s="2" t="s">
        <v>54</v>
      </c>
      <c r="B10" s="2" t="s">
        <v>107</v>
      </c>
      <c r="C10" s="2">
        <v>22</v>
      </c>
      <c r="D10" s="2">
        <v>105</v>
      </c>
      <c r="E10" s="2">
        <v>5.4</v>
      </c>
      <c r="F10" s="2">
        <v>52.9</v>
      </c>
    </row>
    <row r="11" spans="1:6" x14ac:dyDescent="0.25">
      <c r="A11" s="3" t="s">
        <v>54</v>
      </c>
      <c r="B11" s="3" t="s">
        <v>108</v>
      </c>
      <c r="C11" s="3">
        <v>11</v>
      </c>
      <c r="D11" s="3">
        <v>95</v>
      </c>
      <c r="E11" s="3">
        <v>6.7</v>
      </c>
      <c r="F11" s="3">
        <v>72.2</v>
      </c>
    </row>
    <row r="12" spans="1:6" x14ac:dyDescent="0.25">
      <c r="A12" s="2" t="s">
        <v>8</v>
      </c>
      <c r="B12" s="2" t="s">
        <v>104</v>
      </c>
      <c r="C12" s="2">
        <v>140</v>
      </c>
      <c r="D12" s="2">
        <v>300</v>
      </c>
      <c r="E12" s="2">
        <v>2.2000000000000002</v>
      </c>
      <c r="F12" s="2"/>
    </row>
    <row r="13" spans="1:6" x14ac:dyDescent="0.25">
      <c r="A13" s="3" t="s">
        <v>8</v>
      </c>
      <c r="B13" s="3" t="s">
        <v>105</v>
      </c>
      <c r="C13" s="3">
        <v>64</v>
      </c>
      <c r="D13" s="3">
        <v>205</v>
      </c>
      <c r="E13" s="3">
        <v>2.9</v>
      </c>
      <c r="F13" s="3">
        <v>47.9</v>
      </c>
    </row>
    <row r="14" spans="1:6" x14ac:dyDescent="0.25">
      <c r="A14" s="2" t="s">
        <v>8</v>
      </c>
      <c r="B14" s="2" t="s">
        <v>106</v>
      </c>
      <c r="C14" s="2">
        <v>29</v>
      </c>
      <c r="D14" s="2">
        <v>139</v>
      </c>
      <c r="E14" s="2">
        <v>4.2</v>
      </c>
      <c r="F14" s="2">
        <v>50</v>
      </c>
    </row>
    <row r="15" spans="1:6" x14ac:dyDescent="0.25">
      <c r="A15" s="3" t="s">
        <v>8</v>
      </c>
      <c r="B15" s="3" t="s">
        <v>107</v>
      </c>
      <c r="C15" s="3">
        <v>14</v>
      </c>
      <c r="D15" s="3">
        <v>89</v>
      </c>
      <c r="E15" s="3">
        <v>5.4</v>
      </c>
      <c r="F15" s="3">
        <v>52.9</v>
      </c>
    </row>
    <row r="16" spans="1:6" x14ac:dyDescent="0.25">
      <c r="A16" s="2" t="s">
        <v>8</v>
      </c>
      <c r="B16" s="2" t="s">
        <v>108</v>
      </c>
      <c r="C16" s="2">
        <v>13</v>
      </c>
      <c r="D16" s="2">
        <v>79</v>
      </c>
      <c r="E16" s="2">
        <v>6.7</v>
      </c>
      <c r="F16" s="2">
        <v>72.2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1"/>
  <sheetViews>
    <sheetView zoomScaleNormal="100" workbookViewId="0"/>
  </sheetViews>
  <sheetFormatPr defaultColWidth="8.7109375" defaultRowHeight="15" x14ac:dyDescent="0.25"/>
  <cols>
    <col min="1" max="2" width="28" customWidth="1"/>
    <col min="3" max="4" width="14" customWidth="1"/>
    <col min="5" max="5" width="12" customWidth="1"/>
    <col min="6" max="6" width="14" customWidth="1"/>
    <col min="7" max="7" width="40" customWidth="1"/>
  </cols>
  <sheetData>
    <row r="1" spans="1:7" x14ac:dyDescent="0.25">
      <c r="A1" s="1" t="s">
        <v>18</v>
      </c>
      <c r="B1" s="1" t="s">
        <v>109</v>
      </c>
      <c r="C1" s="1" t="s">
        <v>110</v>
      </c>
      <c r="D1" s="1" t="s">
        <v>111</v>
      </c>
      <c r="E1" s="1" t="s">
        <v>112</v>
      </c>
      <c r="F1" s="1" t="s">
        <v>6</v>
      </c>
      <c r="G1" s="1" t="s">
        <v>113</v>
      </c>
    </row>
    <row r="2" spans="1:7" x14ac:dyDescent="0.25">
      <c r="A2" s="2" t="s">
        <v>114</v>
      </c>
      <c r="B2" s="2" t="s">
        <v>115</v>
      </c>
      <c r="C2" s="2">
        <v>28.4</v>
      </c>
      <c r="D2" s="2" t="s">
        <v>116</v>
      </c>
      <c r="E2" s="2" t="s">
        <v>117</v>
      </c>
      <c r="F2" s="2" t="s">
        <v>118</v>
      </c>
      <c r="G2" s="2" t="s">
        <v>119</v>
      </c>
    </row>
    <row r="3" spans="1:7" x14ac:dyDescent="0.25">
      <c r="A3" s="3" t="s">
        <v>120</v>
      </c>
      <c r="B3" s="3" t="s">
        <v>121</v>
      </c>
      <c r="C3" s="3">
        <v>22.1</v>
      </c>
      <c r="D3" s="3" t="s">
        <v>122</v>
      </c>
      <c r="E3" s="3" t="s">
        <v>123</v>
      </c>
      <c r="F3" s="3" t="s">
        <v>124</v>
      </c>
      <c r="G3" s="3" t="s">
        <v>125</v>
      </c>
    </row>
    <row r="4" spans="1:7" x14ac:dyDescent="0.25">
      <c r="A4" s="2" t="s">
        <v>126</v>
      </c>
      <c r="B4" s="2" t="s">
        <v>127</v>
      </c>
      <c r="C4" s="2">
        <v>18.7</v>
      </c>
      <c r="D4" s="2" t="s">
        <v>128</v>
      </c>
      <c r="E4" s="2" t="s">
        <v>129</v>
      </c>
      <c r="F4" s="2" t="s">
        <v>118</v>
      </c>
      <c r="G4" s="2" t="s">
        <v>130</v>
      </c>
    </row>
    <row r="5" spans="1:7" x14ac:dyDescent="0.25">
      <c r="A5" s="3" t="s">
        <v>131</v>
      </c>
      <c r="B5" s="3" t="s">
        <v>132</v>
      </c>
      <c r="C5" s="3">
        <v>14.2</v>
      </c>
      <c r="D5" s="3" t="s">
        <v>133</v>
      </c>
      <c r="E5" s="3" t="s">
        <v>117</v>
      </c>
      <c r="F5" s="3" t="s">
        <v>118</v>
      </c>
      <c r="G5" s="3" t="s">
        <v>134</v>
      </c>
    </row>
    <row r="6" spans="1:7" x14ac:dyDescent="0.25">
      <c r="A6" s="2" t="s">
        <v>135</v>
      </c>
      <c r="B6" s="2" t="s">
        <v>136</v>
      </c>
      <c r="C6" s="2">
        <v>11.8</v>
      </c>
      <c r="D6" s="2" t="s">
        <v>137</v>
      </c>
      <c r="E6" s="2" t="s">
        <v>123</v>
      </c>
      <c r="F6" s="2" t="s">
        <v>124</v>
      </c>
      <c r="G6" s="2" t="s">
        <v>138</v>
      </c>
    </row>
    <row r="7" spans="1:7" x14ac:dyDescent="0.25">
      <c r="A7" s="3" t="s">
        <v>139</v>
      </c>
      <c r="B7" s="3" t="s">
        <v>140</v>
      </c>
      <c r="C7" s="3">
        <v>9.6</v>
      </c>
      <c r="D7" s="3" t="s">
        <v>141</v>
      </c>
      <c r="E7" s="3" t="s">
        <v>123</v>
      </c>
      <c r="F7" s="3" t="s">
        <v>118</v>
      </c>
      <c r="G7" s="3" t="s">
        <v>142</v>
      </c>
    </row>
    <row r="8" spans="1:7" x14ac:dyDescent="0.25">
      <c r="A8" s="2" t="s">
        <v>143</v>
      </c>
      <c r="B8" s="2" t="s">
        <v>144</v>
      </c>
      <c r="C8" s="2">
        <v>8.3000000000000007</v>
      </c>
      <c r="D8" s="2" t="s">
        <v>145</v>
      </c>
      <c r="E8" s="2" t="s">
        <v>129</v>
      </c>
      <c r="F8" s="2" t="s">
        <v>118</v>
      </c>
      <c r="G8" s="2" t="s">
        <v>146</v>
      </c>
    </row>
    <row r="9" spans="1:7" x14ac:dyDescent="0.25">
      <c r="A9" s="3" t="s">
        <v>147</v>
      </c>
      <c r="B9" s="3" t="s">
        <v>148</v>
      </c>
      <c r="C9" s="3">
        <v>7.5</v>
      </c>
      <c r="D9" s="3" t="s">
        <v>149</v>
      </c>
      <c r="E9" s="3" t="s">
        <v>117</v>
      </c>
      <c r="F9" s="3" t="s">
        <v>118</v>
      </c>
      <c r="G9" s="3" t="s">
        <v>150</v>
      </c>
    </row>
    <row r="10" spans="1:7" x14ac:dyDescent="0.25">
      <c r="A10" s="2" t="s">
        <v>151</v>
      </c>
      <c r="B10" s="2" t="s">
        <v>152</v>
      </c>
      <c r="C10" s="2">
        <v>6.9</v>
      </c>
      <c r="D10" s="2" t="s">
        <v>153</v>
      </c>
      <c r="E10" s="2" t="s">
        <v>123</v>
      </c>
      <c r="F10" s="2" t="s">
        <v>118</v>
      </c>
      <c r="G10" s="2" t="s">
        <v>154</v>
      </c>
    </row>
    <row r="11" spans="1:7" x14ac:dyDescent="0.25">
      <c r="A11" s="3" t="s">
        <v>155</v>
      </c>
      <c r="B11" s="3" t="s">
        <v>156</v>
      </c>
      <c r="C11" s="3">
        <v>6.2</v>
      </c>
      <c r="D11" s="3" t="s">
        <v>157</v>
      </c>
      <c r="E11" s="3" t="s">
        <v>123</v>
      </c>
      <c r="F11" s="3" t="s">
        <v>118</v>
      </c>
      <c r="G11" s="3" t="s">
        <v>158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51"/>
  <sheetViews>
    <sheetView zoomScaleNormal="100" workbookViewId="0"/>
  </sheetViews>
  <sheetFormatPr defaultColWidth="8.7109375" defaultRowHeight="15" x14ac:dyDescent="0.25"/>
  <cols>
    <col min="1" max="1" width="16" customWidth="1"/>
    <col min="2" max="2" width="14" customWidth="1"/>
    <col min="3" max="8" width="16" customWidth="1"/>
  </cols>
  <sheetData>
    <row r="1" spans="1:8" x14ac:dyDescent="0.25">
      <c r="A1" s="1" t="s">
        <v>0</v>
      </c>
      <c r="B1" s="1" t="s">
        <v>159</v>
      </c>
      <c r="C1" s="1" t="s">
        <v>10</v>
      </c>
      <c r="D1" s="1" t="s">
        <v>40</v>
      </c>
      <c r="E1" s="1" t="s">
        <v>89</v>
      </c>
      <c r="F1" s="1" t="s">
        <v>90</v>
      </c>
      <c r="G1" s="1" t="s">
        <v>12</v>
      </c>
      <c r="H1" s="1" t="s">
        <v>93</v>
      </c>
    </row>
    <row r="2" spans="1:8" x14ac:dyDescent="0.25">
      <c r="A2" s="2" t="s">
        <v>46</v>
      </c>
      <c r="B2" s="2" t="s">
        <v>160</v>
      </c>
      <c r="C2" s="2">
        <v>1</v>
      </c>
      <c r="D2" s="2">
        <v>1.05</v>
      </c>
      <c r="E2" s="2">
        <v>0.9</v>
      </c>
      <c r="F2" s="2">
        <v>90</v>
      </c>
      <c r="G2" s="2">
        <v>-0.1</v>
      </c>
      <c r="H2" s="2">
        <v>0.1</v>
      </c>
    </row>
    <row r="3" spans="1:8" x14ac:dyDescent="0.25">
      <c r="A3" s="3" t="s">
        <v>46</v>
      </c>
      <c r="B3" s="3" t="s">
        <v>161</v>
      </c>
      <c r="C3" s="3">
        <v>0</v>
      </c>
      <c r="D3" s="3">
        <v>11.25</v>
      </c>
      <c r="E3" s="3">
        <v>0</v>
      </c>
      <c r="F3" s="3">
        <v>0</v>
      </c>
      <c r="G3" s="3">
        <v>-0.5</v>
      </c>
      <c r="H3" s="3">
        <v>0</v>
      </c>
    </row>
    <row r="4" spans="1:8" x14ac:dyDescent="0.25">
      <c r="A4" s="2" t="s">
        <v>46</v>
      </c>
      <c r="B4" s="2" t="s">
        <v>162</v>
      </c>
      <c r="C4" s="2">
        <v>0.13</v>
      </c>
      <c r="D4" s="2">
        <v>0.71</v>
      </c>
      <c r="E4" s="2">
        <v>0.1</v>
      </c>
      <c r="F4" s="2">
        <v>77</v>
      </c>
      <c r="G4" s="2">
        <v>-0.2</v>
      </c>
      <c r="H4" s="2">
        <v>0.03</v>
      </c>
    </row>
    <row r="5" spans="1:8" x14ac:dyDescent="0.25">
      <c r="A5" s="3" t="s">
        <v>46</v>
      </c>
      <c r="B5" s="3" t="s">
        <v>163</v>
      </c>
      <c r="C5" s="3">
        <v>-3.0000000000000001E-3</v>
      </c>
      <c r="D5" s="3">
        <v>0.25</v>
      </c>
      <c r="E5" s="3">
        <v>0</v>
      </c>
      <c r="F5" s="3">
        <v>0</v>
      </c>
      <c r="G5" s="3">
        <v>-0.1</v>
      </c>
      <c r="H5" s="3">
        <v>3.0000000000000001E-3</v>
      </c>
    </row>
    <row r="6" spans="1:8" x14ac:dyDescent="0.25">
      <c r="A6" s="2" t="s">
        <v>46</v>
      </c>
      <c r="B6" s="2" t="s">
        <v>164</v>
      </c>
      <c r="C6" s="2">
        <v>0</v>
      </c>
      <c r="D6" s="2">
        <v>0</v>
      </c>
      <c r="E6" s="2">
        <v>0</v>
      </c>
      <c r="F6" s="2">
        <v>0</v>
      </c>
      <c r="G6" s="2">
        <v>-0.3</v>
      </c>
      <c r="H6" s="2">
        <v>0</v>
      </c>
    </row>
    <row r="7" spans="1:8" x14ac:dyDescent="0.25">
      <c r="A7" s="3" t="s">
        <v>47</v>
      </c>
      <c r="B7" s="3" t="s">
        <v>160</v>
      </c>
      <c r="C7" s="3">
        <v>1</v>
      </c>
      <c r="D7" s="3">
        <v>1.05</v>
      </c>
      <c r="E7" s="3">
        <v>0.9</v>
      </c>
      <c r="F7" s="3">
        <v>90</v>
      </c>
      <c r="G7" s="3">
        <v>-0.1</v>
      </c>
      <c r="H7" s="3">
        <v>0.1</v>
      </c>
    </row>
    <row r="8" spans="1:8" x14ac:dyDescent="0.25">
      <c r="A8" s="2" t="s">
        <v>47</v>
      </c>
      <c r="B8" s="2" t="s">
        <v>161</v>
      </c>
      <c r="C8" s="2">
        <v>0</v>
      </c>
      <c r="D8" s="2">
        <v>11.25</v>
      </c>
      <c r="E8" s="2">
        <v>0</v>
      </c>
      <c r="F8" s="2">
        <v>0</v>
      </c>
      <c r="G8" s="2">
        <v>-0.5</v>
      </c>
      <c r="H8" s="2">
        <v>0</v>
      </c>
    </row>
    <row r="9" spans="1:8" x14ac:dyDescent="0.25">
      <c r="A9" s="3" t="s">
        <v>47</v>
      </c>
      <c r="B9" s="3" t="s">
        <v>162</v>
      </c>
      <c r="C9" s="3">
        <v>0.13</v>
      </c>
      <c r="D9" s="3">
        <v>0.71</v>
      </c>
      <c r="E9" s="3">
        <v>0.1</v>
      </c>
      <c r="F9" s="3">
        <v>77</v>
      </c>
      <c r="G9" s="3">
        <v>-0.2</v>
      </c>
      <c r="H9" s="3">
        <v>0.03</v>
      </c>
    </row>
    <row r="10" spans="1:8" x14ac:dyDescent="0.25">
      <c r="A10" s="2" t="s">
        <v>47</v>
      </c>
      <c r="B10" s="2" t="s">
        <v>163</v>
      </c>
      <c r="C10" s="2">
        <v>-3.0000000000000001E-3</v>
      </c>
      <c r="D10" s="2">
        <v>0.25</v>
      </c>
      <c r="E10" s="2">
        <v>0</v>
      </c>
      <c r="F10" s="2">
        <v>0</v>
      </c>
      <c r="G10" s="2">
        <v>-0.1</v>
      </c>
      <c r="H10" s="2">
        <v>3.0000000000000001E-3</v>
      </c>
    </row>
    <row r="11" spans="1:8" x14ac:dyDescent="0.25">
      <c r="A11" s="3" t="s">
        <v>47</v>
      </c>
      <c r="B11" s="3" t="s">
        <v>164</v>
      </c>
      <c r="C11" s="3">
        <v>0</v>
      </c>
      <c r="D11" s="3">
        <v>0</v>
      </c>
      <c r="E11" s="3">
        <v>0</v>
      </c>
      <c r="F11" s="3">
        <v>0</v>
      </c>
      <c r="G11" s="3">
        <v>-0.3</v>
      </c>
      <c r="H11" s="3">
        <v>0</v>
      </c>
    </row>
    <row r="12" spans="1:8" x14ac:dyDescent="0.25">
      <c r="A12" s="2" t="s">
        <v>48</v>
      </c>
      <c r="B12" s="2" t="s">
        <v>160</v>
      </c>
      <c r="C12" s="2">
        <v>1</v>
      </c>
      <c r="D12" s="2">
        <v>1.05</v>
      </c>
      <c r="E12" s="2">
        <v>0.9</v>
      </c>
      <c r="F12" s="2">
        <v>90</v>
      </c>
      <c r="G12" s="2">
        <v>-0.1</v>
      </c>
      <c r="H12" s="2">
        <v>0.1</v>
      </c>
    </row>
    <row r="13" spans="1:8" x14ac:dyDescent="0.25">
      <c r="A13" s="3" t="s">
        <v>48</v>
      </c>
      <c r="B13" s="3" t="s">
        <v>161</v>
      </c>
      <c r="C13" s="3">
        <v>0</v>
      </c>
      <c r="D13" s="3">
        <v>11.25</v>
      </c>
      <c r="E13" s="3">
        <v>0</v>
      </c>
      <c r="F13" s="3">
        <v>0</v>
      </c>
      <c r="G13" s="3">
        <v>-0.5</v>
      </c>
      <c r="H13" s="3">
        <v>0</v>
      </c>
    </row>
    <row r="14" spans="1:8" x14ac:dyDescent="0.25">
      <c r="A14" s="2" t="s">
        <v>48</v>
      </c>
      <c r="B14" s="2" t="s">
        <v>162</v>
      </c>
      <c r="C14" s="2">
        <v>0.13</v>
      </c>
      <c r="D14" s="2">
        <v>0.71</v>
      </c>
      <c r="E14" s="2">
        <v>0.1</v>
      </c>
      <c r="F14" s="2">
        <v>77</v>
      </c>
      <c r="G14" s="2">
        <v>-0.2</v>
      </c>
      <c r="H14" s="2">
        <v>0.03</v>
      </c>
    </row>
    <row r="15" spans="1:8" x14ac:dyDescent="0.25">
      <c r="A15" s="3" t="s">
        <v>48</v>
      </c>
      <c r="B15" s="3" t="s">
        <v>163</v>
      </c>
      <c r="C15" s="3">
        <v>-3.0000000000000001E-3</v>
      </c>
      <c r="D15" s="3">
        <v>0.25</v>
      </c>
      <c r="E15" s="3">
        <v>0</v>
      </c>
      <c r="F15" s="3">
        <v>0</v>
      </c>
      <c r="G15" s="3">
        <v>-0.1</v>
      </c>
      <c r="H15" s="3">
        <v>3.0000000000000001E-3</v>
      </c>
    </row>
    <row r="16" spans="1:8" x14ac:dyDescent="0.25">
      <c r="A16" s="2" t="s">
        <v>48</v>
      </c>
      <c r="B16" s="2" t="s">
        <v>164</v>
      </c>
      <c r="C16" s="2">
        <v>0</v>
      </c>
      <c r="D16" s="2">
        <v>0</v>
      </c>
      <c r="E16" s="2">
        <v>0</v>
      </c>
      <c r="F16" s="2">
        <v>0</v>
      </c>
      <c r="G16" s="2">
        <v>-0.3</v>
      </c>
      <c r="H16" s="2">
        <v>0</v>
      </c>
    </row>
    <row r="17" spans="1:8" x14ac:dyDescent="0.25">
      <c r="A17" s="3" t="s">
        <v>49</v>
      </c>
      <c r="B17" s="3" t="s">
        <v>160</v>
      </c>
      <c r="C17" s="3">
        <v>1</v>
      </c>
      <c r="D17" s="3">
        <v>1.05</v>
      </c>
      <c r="E17" s="3">
        <v>0.9</v>
      </c>
      <c r="F17" s="3">
        <v>90</v>
      </c>
      <c r="G17" s="3">
        <v>-0.1</v>
      </c>
      <c r="H17" s="3">
        <v>0.1</v>
      </c>
    </row>
    <row r="18" spans="1:8" x14ac:dyDescent="0.25">
      <c r="A18" s="2" t="s">
        <v>49</v>
      </c>
      <c r="B18" s="2" t="s">
        <v>161</v>
      </c>
      <c r="C18" s="2">
        <v>0</v>
      </c>
      <c r="D18" s="2">
        <v>11.25</v>
      </c>
      <c r="E18" s="2">
        <v>0</v>
      </c>
      <c r="F18" s="2">
        <v>0</v>
      </c>
      <c r="G18" s="2">
        <v>-0.5</v>
      </c>
      <c r="H18" s="2">
        <v>0</v>
      </c>
    </row>
    <row r="19" spans="1:8" x14ac:dyDescent="0.25">
      <c r="A19" s="3" t="s">
        <v>49</v>
      </c>
      <c r="B19" s="3" t="s">
        <v>162</v>
      </c>
      <c r="C19" s="3">
        <v>0.13</v>
      </c>
      <c r="D19" s="3">
        <v>0.71</v>
      </c>
      <c r="E19" s="3">
        <v>0.1</v>
      </c>
      <c r="F19" s="3">
        <v>77</v>
      </c>
      <c r="G19" s="3">
        <v>-0.2</v>
      </c>
      <c r="H19" s="3">
        <v>0.03</v>
      </c>
    </row>
    <row r="20" spans="1:8" x14ac:dyDescent="0.25">
      <c r="A20" s="2" t="s">
        <v>49</v>
      </c>
      <c r="B20" s="2" t="s">
        <v>163</v>
      </c>
      <c r="C20" s="2">
        <v>-3.0000000000000001E-3</v>
      </c>
      <c r="D20" s="2">
        <v>0.25</v>
      </c>
      <c r="E20" s="2">
        <v>0</v>
      </c>
      <c r="F20" s="2">
        <v>0</v>
      </c>
      <c r="G20" s="2">
        <v>-0.1</v>
      </c>
      <c r="H20" s="2">
        <v>3.0000000000000001E-3</v>
      </c>
    </row>
    <row r="21" spans="1:8" x14ac:dyDescent="0.25">
      <c r="A21" s="3" t="s">
        <v>49</v>
      </c>
      <c r="B21" s="3" t="s">
        <v>164</v>
      </c>
      <c r="C21" s="3">
        <v>0</v>
      </c>
      <c r="D21" s="3">
        <v>0</v>
      </c>
      <c r="E21" s="3">
        <v>0</v>
      </c>
      <c r="F21" s="3">
        <v>0</v>
      </c>
      <c r="G21" s="3">
        <v>-0.3</v>
      </c>
      <c r="H21" s="3">
        <v>0</v>
      </c>
    </row>
    <row r="22" spans="1:8" x14ac:dyDescent="0.25">
      <c r="A22" s="2" t="s">
        <v>50</v>
      </c>
      <c r="B22" s="2" t="s">
        <v>160</v>
      </c>
      <c r="C22" s="2">
        <v>1</v>
      </c>
      <c r="D22" s="2">
        <v>1.05</v>
      </c>
      <c r="E22" s="2">
        <v>0.9</v>
      </c>
      <c r="F22" s="2">
        <v>90</v>
      </c>
      <c r="G22" s="2">
        <v>-0.1</v>
      </c>
      <c r="H22" s="2">
        <v>0.1</v>
      </c>
    </row>
    <row r="23" spans="1:8" x14ac:dyDescent="0.25">
      <c r="A23" s="3" t="s">
        <v>50</v>
      </c>
      <c r="B23" s="3" t="s">
        <v>161</v>
      </c>
      <c r="C23" s="3">
        <v>0</v>
      </c>
      <c r="D23" s="3">
        <v>11.25</v>
      </c>
      <c r="E23" s="3">
        <v>0</v>
      </c>
      <c r="F23" s="3">
        <v>0</v>
      </c>
      <c r="G23" s="3">
        <v>-0.5</v>
      </c>
      <c r="H23" s="3">
        <v>0</v>
      </c>
    </row>
    <row r="24" spans="1:8" x14ac:dyDescent="0.25">
      <c r="A24" s="2" t="s">
        <v>50</v>
      </c>
      <c r="B24" s="2" t="s">
        <v>162</v>
      </c>
      <c r="C24" s="2">
        <v>0.13</v>
      </c>
      <c r="D24" s="2">
        <v>0.71</v>
      </c>
      <c r="E24" s="2">
        <v>0.1</v>
      </c>
      <c r="F24" s="2">
        <v>77</v>
      </c>
      <c r="G24" s="2">
        <v>-0.2</v>
      </c>
      <c r="H24" s="2">
        <v>0.03</v>
      </c>
    </row>
    <row r="25" spans="1:8" x14ac:dyDescent="0.25">
      <c r="A25" s="3" t="s">
        <v>50</v>
      </c>
      <c r="B25" s="3" t="s">
        <v>163</v>
      </c>
      <c r="C25" s="3">
        <v>-3.0000000000000001E-3</v>
      </c>
      <c r="D25" s="3">
        <v>0.25</v>
      </c>
      <c r="E25" s="3">
        <v>0</v>
      </c>
      <c r="F25" s="3">
        <v>0</v>
      </c>
      <c r="G25" s="3">
        <v>-0.1</v>
      </c>
      <c r="H25" s="3">
        <v>3.0000000000000001E-3</v>
      </c>
    </row>
    <row r="26" spans="1:8" x14ac:dyDescent="0.25">
      <c r="A26" s="2" t="s">
        <v>50</v>
      </c>
      <c r="B26" s="2" t="s">
        <v>164</v>
      </c>
      <c r="C26" s="2">
        <v>0</v>
      </c>
      <c r="D26" s="2">
        <v>0</v>
      </c>
      <c r="E26" s="2">
        <v>0</v>
      </c>
      <c r="F26" s="2">
        <v>0</v>
      </c>
      <c r="G26" s="2">
        <v>-0.3</v>
      </c>
      <c r="H26" s="2">
        <v>0</v>
      </c>
    </row>
    <row r="27" spans="1:8" x14ac:dyDescent="0.25">
      <c r="A27" s="3" t="s">
        <v>51</v>
      </c>
      <c r="B27" s="3" t="s">
        <v>160</v>
      </c>
      <c r="C27" s="3">
        <v>1</v>
      </c>
      <c r="D27" s="3">
        <v>1.05</v>
      </c>
      <c r="E27" s="3">
        <v>0.9</v>
      </c>
      <c r="F27" s="3">
        <v>90</v>
      </c>
      <c r="G27" s="3">
        <v>-0.1</v>
      </c>
      <c r="H27" s="3">
        <v>0.1</v>
      </c>
    </row>
    <row r="28" spans="1:8" x14ac:dyDescent="0.25">
      <c r="A28" s="2" t="s">
        <v>51</v>
      </c>
      <c r="B28" s="2" t="s">
        <v>161</v>
      </c>
      <c r="C28" s="2">
        <v>0</v>
      </c>
      <c r="D28" s="2">
        <v>11.25</v>
      </c>
      <c r="E28" s="2">
        <v>0</v>
      </c>
      <c r="F28" s="2">
        <v>0</v>
      </c>
      <c r="G28" s="2">
        <v>-0.5</v>
      </c>
      <c r="H28" s="2">
        <v>0</v>
      </c>
    </row>
    <row r="29" spans="1:8" x14ac:dyDescent="0.25">
      <c r="A29" s="3" t="s">
        <v>51</v>
      </c>
      <c r="B29" s="3" t="s">
        <v>162</v>
      </c>
      <c r="C29" s="3">
        <v>0.13</v>
      </c>
      <c r="D29" s="3">
        <v>0.71</v>
      </c>
      <c r="E29" s="3">
        <v>0.1</v>
      </c>
      <c r="F29" s="3">
        <v>77</v>
      </c>
      <c r="G29" s="3">
        <v>-0.2</v>
      </c>
      <c r="H29" s="3">
        <v>0.03</v>
      </c>
    </row>
    <row r="30" spans="1:8" x14ac:dyDescent="0.25">
      <c r="A30" s="2" t="s">
        <v>51</v>
      </c>
      <c r="B30" s="2" t="s">
        <v>163</v>
      </c>
      <c r="C30" s="2">
        <v>-3.0000000000000001E-3</v>
      </c>
      <c r="D30" s="2">
        <v>0.25</v>
      </c>
      <c r="E30" s="2">
        <v>0</v>
      </c>
      <c r="F30" s="2">
        <v>0</v>
      </c>
      <c r="G30" s="2">
        <v>-0.1</v>
      </c>
      <c r="H30" s="2">
        <v>3.0000000000000001E-3</v>
      </c>
    </row>
    <row r="31" spans="1:8" x14ac:dyDescent="0.25">
      <c r="A31" s="3" t="s">
        <v>51</v>
      </c>
      <c r="B31" s="3" t="s">
        <v>164</v>
      </c>
      <c r="C31" s="3">
        <v>0</v>
      </c>
      <c r="D31" s="3">
        <v>0</v>
      </c>
      <c r="E31" s="3">
        <v>0</v>
      </c>
      <c r="F31" s="3">
        <v>0</v>
      </c>
      <c r="G31" s="3">
        <v>-0.3</v>
      </c>
      <c r="H31" s="3">
        <v>0</v>
      </c>
    </row>
    <row r="32" spans="1:8" x14ac:dyDescent="0.25">
      <c r="A32" s="2" t="s">
        <v>52</v>
      </c>
      <c r="B32" s="2" t="s">
        <v>160</v>
      </c>
      <c r="C32" s="2">
        <v>1</v>
      </c>
      <c r="D32" s="2">
        <v>1.05</v>
      </c>
      <c r="E32" s="2">
        <v>0.9</v>
      </c>
      <c r="F32" s="2">
        <v>90</v>
      </c>
      <c r="G32" s="2">
        <v>-0.1</v>
      </c>
      <c r="H32" s="2">
        <v>0.1</v>
      </c>
    </row>
    <row r="33" spans="1:8" x14ac:dyDescent="0.25">
      <c r="A33" s="3" t="s">
        <v>52</v>
      </c>
      <c r="B33" s="3" t="s">
        <v>161</v>
      </c>
      <c r="C33" s="3">
        <v>0</v>
      </c>
      <c r="D33" s="3">
        <v>11.25</v>
      </c>
      <c r="E33" s="3">
        <v>0</v>
      </c>
      <c r="F33" s="3">
        <v>0</v>
      </c>
      <c r="G33" s="3">
        <v>-0.5</v>
      </c>
      <c r="H33" s="3">
        <v>0</v>
      </c>
    </row>
    <row r="34" spans="1:8" x14ac:dyDescent="0.25">
      <c r="A34" s="2" t="s">
        <v>52</v>
      </c>
      <c r="B34" s="2" t="s">
        <v>162</v>
      </c>
      <c r="C34" s="2">
        <v>0.13</v>
      </c>
      <c r="D34" s="2">
        <v>0.71</v>
      </c>
      <c r="E34" s="2">
        <v>0.1</v>
      </c>
      <c r="F34" s="2">
        <v>77</v>
      </c>
      <c r="G34" s="2">
        <v>-0.2</v>
      </c>
      <c r="H34" s="2">
        <v>0.03</v>
      </c>
    </row>
    <row r="35" spans="1:8" x14ac:dyDescent="0.25">
      <c r="A35" s="3" t="s">
        <v>52</v>
      </c>
      <c r="B35" s="3" t="s">
        <v>163</v>
      </c>
      <c r="C35" s="3">
        <v>-3.0000000000000001E-3</v>
      </c>
      <c r="D35" s="3">
        <v>0.25</v>
      </c>
      <c r="E35" s="3">
        <v>0</v>
      </c>
      <c r="F35" s="3">
        <v>0</v>
      </c>
      <c r="G35" s="3">
        <v>-0.1</v>
      </c>
      <c r="H35" s="3">
        <v>3.0000000000000001E-3</v>
      </c>
    </row>
    <row r="36" spans="1:8" x14ac:dyDescent="0.25">
      <c r="A36" s="2" t="s">
        <v>52</v>
      </c>
      <c r="B36" s="2" t="s">
        <v>164</v>
      </c>
      <c r="C36" s="2">
        <v>0</v>
      </c>
      <c r="D36" s="2">
        <v>0</v>
      </c>
      <c r="E36" s="2">
        <v>0</v>
      </c>
      <c r="F36" s="2">
        <v>0</v>
      </c>
      <c r="G36" s="2">
        <v>-0.3</v>
      </c>
      <c r="H36" s="2">
        <v>0</v>
      </c>
    </row>
    <row r="37" spans="1:8" x14ac:dyDescent="0.25">
      <c r="A37" s="3" t="s">
        <v>53</v>
      </c>
      <c r="B37" s="3" t="s">
        <v>160</v>
      </c>
      <c r="C37" s="3">
        <v>1</v>
      </c>
      <c r="D37" s="3">
        <v>1.05</v>
      </c>
      <c r="E37" s="3">
        <v>0.9</v>
      </c>
      <c r="F37" s="3">
        <v>90</v>
      </c>
      <c r="G37" s="3">
        <v>-0.1</v>
      </c>
      <c r="H37" s="3">
        <v>0.1</v>
      </c>
    </row>
    <row r="38" spans="1:8" x14ac:dyDescent="0.25">
      <c r="A38" s="2" t="s">
        <v>53</v>
      </c>
      <c r="B38" s="2" t="s">
        <v>161</v>
      </c>
      <c r="C38" s="2">
        <v>0</v>
      </c>
      <c r="D38" s="2">
        <v>11.25</v>
      </c>
      <c r="E38" s="2">
        <v>0</v>
      </c>
      <c r="F38" s="2">
        <v>0</v>
      </c>
      <c r="G38" s="2">
        <v>-0.5</v>
      </c>
      <c r="H38" s="2">
        <v>0</v>
      </c>
    </row>
    <row r="39" spans="1:8" x14ac:dyDescent="0.25">
      <c r="A39" s="3" t="s">
        <v>53</v>
      </c>
      <c r="B39" s="3" t="s">
        <v>162</v>
      </c>
      <c r="C39" s="3">
        <v>0.13</v>
      </c>
      <c r="D39" s="3">
        <v>0.71</v>
      </c>
      <c r="E39" s="3">
        <v>0.1</v>
      </c>
      <c r="F39" s="3">
        <v>77</v>
      </c>
      <c r="G39" s="3">
        <v>-0.2</v>
      </c>
      <c r="H39" s="3">
        <v>0.03</v>
      </c>
    </row>
    <row r="40" spans="1:8" x14ac:dyDescent="0.25">
      <c r="A40" s="2" t="s">
        <v>53</v>
      </c>
      <c r="B40" s="2" t="s">
        <v>163</v>
      </c>
      <c r="C40" s="2">
        <v>-3.0000000000000001E-3</v>
      </c>
      <c r="D40" s="2">
        <v>0.25</v>
      </c>
      <c r="E40" s="2">
        <v>0</v>
      </c>
      <c r="F40" s="2">
        <v>0</v>
      </c>
      <c r="G40" s="2">
        <v>-0.1</v>
      </c>
      <c r="H40" s="2">
        <v>3.0000000000000001E-3</v>
      </c>
    </row>
    <row r="41" spans="1:8" x14ac:dyDescent="0.25">
      <c r="A41" s="3" t="s">
        <v>53</v>
      </c>
      <c r="B41" s="3" t="s">
        <v>164</v>
      </c>
      <c r="C41" s="3">
        <v>0</v>
      </c>
      <c r="D41" s="3">
        <v>0</v>
      </c>
      <c r="E41" s="3">
        <v>0</v>
      </c>
      <c r="F41" s="3">
        <v>0</v>
      </c>
      <c r="G41" s="3">
        <v>-0.3</v>
      </c>
      <c r="H41" s="3">
        <v>0</v>
      </c>
    </row>
    <row r="42" spans="1:8" x14ac:dyDescent="0.25">
      <c r="A42" s="2" t="s">
        <v>54</v>
      </c>
      <c r="B42" s="2" t="s">
        <v>160</v>
      </c>
      <c r="C42" s="2">
        <v>1</v>
      </c>
      <c r="D42" s="2">
        <v>1.05</v>
      </c>
      <c r="E42" s="2">
        <v>0.9</v>
      </c>
      <c r="F42" s="2">
        <v>90</v>
      </c>
      <c r="G42" s="2">
        <v>-0.1</v>
      </c>
      <c r="H42" s="2">
        <v>0.1</v>
      </c>
    </row>
    <row r="43" spans="1:8" x14ac:dyDescent="0.25">
      <c r="A43" s="3" t="s">
        <v>54</v>
      </c>
      <c r="B43" s="3" t="s">
        <v>161</v>
      </c>
      <c r="C43" s="3">
        <v>0</v>
      </c>
      <c r="D43" s="3">
        <v>11.25</v>
      </c>
      <c r="E43" s="3">
        <v>0</v>
      </c>
      <c r="F43" s="3">
        <v>0</v>
      </c>
      <c r="G43" s="3">
        <v>-0.5</v>
      </c>
      <c r="H43" s="3">
        <v>0</v>
      </c>
    </row>
    <row r="44" spans="1:8" x14ac:dyDescent="0.25">
      <c r="A44" s="2" t="s">
        <v>54</v>
      </c>
      <c r="B44" s="2" t="s">
        <v>162</v>
      </c>
      <c r="C44" s="2">
        <v>0.13</v>
      </c>
      <c r="D44" s="2">
        <v>0.71</v>
      </c>
      <c r="E44" s="2">
        <v>0.1</v>
      </c>
      <c r="F44" s="2">
        <v>77</v>
      </c>
      <c r="G44" s="2">
        <v>-0.2</v>
      </c>
      <c r="H44" s="2">
        <v>0.03</v>
      </c>
    </row>
    <row r="45" spans="1:8" x14ac:dyDescent="0.25">
      <c r="A45" s="3" t="s">
        <v>54</v>
      </c>
      <c r="B45" s="3" t="s">
        <v>163</v>
      </c>
      <c r="C45" s="3">
        <v>-3.0000000000000001E-3</v>
      </c>
      <c r="D45" s="3">
        <v>0.25</v>
      </c>
      <c r="E45" s="3">
        <v>0</v>
      </c>
      <c r="F45" s="3">
        <v>0</v>
      </c>
      <c r="G45" s="3">
        <v>-0.1</v>
      </c>
      <c r="H45" s="3">
        <v>3.0000000000000001E-3</v>
      </c>
    </row>
    <row r="46" spans="1:8" x14ac:dyDescent="0.25">
      <c r="A46" s="2" t="s">
        <v>54</v>
      </c>
      <c r="B46" s="2" t="s">
        <v>164</v>
      </c>
      <c r="C46" s="2">
        <v>0</v>
      </c>
      <c r="D46" s="2">
        <v>0</v>
      </c>
      <c r="E46" s="2">
        <v>0</v>
      </c>
      <c r="F46" s="2">
        <v>0</v>
      </c>
      <c r="G46" s="2">
        <v>-0.3</v>
      </c>
      <c r="H46" s="2">
        <v>0</v>
      </c>
    </row>
    <row r="47" spans="1:8" x14ac:dyDescent="0.25">
      <c r="A47" s="3" t="s">
        <v>8</v>
      </c>
      <c r="B47" s="3" t="s">
        <v>160</v>
      </c>
      <c r="C47" s="3">
        <v>1</v>
      </c>
      <c r="D47" s="3">
        <v>1.05</v>
      </c>
      <c r="E47" s="3">
        <v>0.9</v>
      </c>
      <c r="F47" s="3">
        <v>90</v>
      </c>
      <c r="G47" s="3">
        <v>-0.1</v>
      </c>
      <c r="H47" s="3">
        <v>0.1</v>
      </c>
    </row>
    <row r="48" spans="1:8" x14ac:dyDescent="0.25">
      <c r="A48" s="2" t="s">
        <v>8</v>
      </c>
      <c r="B48" s="2" t="s">
        <v>161</v>
      </c>
      <c r="C48" s="2">
        <v>0</v>
      </c>
      <c r="D48" s="2">
        <v>11.25</v>
      </c>
      <c r="E48" s="2">
        <v>0</v>
      </c>
      <c r="F48" s="2">
        <v>0</v>
      </c>
      <c r="G48" s="2">
        <v>-0.5</v>
      </c>
      <c r="H48" s="2">
        <v>0</v>
      </c>
    </row>
    <row r="49" spans="1:8" x14ac:dyDescent="0.25">
      <c r="A49" s="3" t="s">
        <v>8</v>
      </c>
      <c r="B49" s="3" t="s">
        <v>162</v>
      </c>
      <c r="C49" s="3">
        <v>0.13</v>
      </c>
      <c r="D49" s="3">
        <v>0.71</v>
      </c>
      <c r="E49" s="3">
        <v>0.1</v>
      </c>
      <c r="F49" s="3">
        <v>77</v>
      </c>
      <c r="G49" s="3">
        <v>-0.2</v>
      </c>
      <c r="H49" s="3">
        <v>0.03</v>
      </c>
    </row>
    <row r="50" spans="1:8" x14ac:dyDescent="0.25">
      <c r="A50" s="2" t="s">
        <v>8</v>
      </c>
      <c r="B50" s="2" t="s">
        <v>163</v>
      </c>
      <c r="C50" s="2">
        <v>-3.0000000000000001E-3</v>
      </c>
      <c r="D50" s="2">
        <v>0.25</v>
      </c>
      <c r="E50" s="2">
        <v>0</v>
      </c>
      <c r="F50" s="2">
        <v>0</v>
      </c>
      <c r="G50" s="2">
        <v>-0.1</v>
      </c>
      <c r="H50" s="2">
        <v>3.0000000000000001E-3</v>
      </c>
    </row>
    <row r="51" spans="1:8" x14ac:dyDescent="0.25">
      <c r="A51" s="3" t="s">
        <v>8</v>
      </c>
      <c r="B51" s="3" t="s">
        <v>164</v>
      </c>
      <c r="C51" s="3">
        <v>0</v>
      </c>
      <c r="D51" s="3">
        <v>0</v>
      </c>
      <c r="E51" s="3">
        <v>0</v>
      </c>
      <c r="F51" s="3">
        <v>0</v>
      </c>
      <c r="G51" s="3">
        <v>-0.3</v>
      </c>
      <c r="H51" s="3"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9"/>
  <sheetViews>
    <sheetView zoomScaleNormal="100" workbookViewId="0">
      <selection activeCell="K23" sqref="K23"/>
    </sheetView>
  </sheetViews>
  <sheetFormatPr defaultColWidth="8.7109375" defaultRowHeight="15" x14ac:dyDescent="0.25"/>
  <cols>
    <col min="1" max="9" width="14" customWidth="1"/>
  </cols>
  <sheetData>
    <row r="1" spans="1:9" x14ac:dyDescent="0.25">
      <c r="A1" s="1" t="s">
        <v>0</v>
      </c>
      <c r="B1" s="1" t="s">
        <v>10</v>
      </c>
      <c r="C1" s="1" t="s">
        <v>40</v>
      </c>
      <c r="D1" s="1" t="s">
        <v>89</v>
      </c>
      <c r="E1" s="1" t="s">
        <v>12</v>
      </c>
      <c r="F1" s="1" t="s">
        <v>41</v>
      </c>
      <c r="G1" s="1" t="s">
        <v>13</v>
      </c>
      <c r="H1" s="1" t="s">
        <v>165</v>
      </c>
      <c r="I1" s="1" t="s">
        <v>93</v>
      </c>
    </row>
    <row r="2" spans="1:9" x14ac:dyDescent="0.25">
      <c r="A2" s="2" t="s">
        <v>46</v>
      </c>
      <c r="B2" s="2">
        <v>245</v>
      </c>
      <c r="C2" s="2">
        <v>252</v>
      </c>
      <c r="D2" s="2">
        <v>196</v>
      </c>
      <c r="E2" s="2">
        <v>103</v>
      </c>
      <c r="F2" s="2">
        <v>96</v>
      </c>
      <c r="G2" s="2">
        <v>38</v>
      </c>
      <c r="H2" s="2">
        <v>128</v>
      </c>
      <c r="I2" s="2">
        <v>54</v>
      </c>
    </row>
    <row r="3" spans="1:9" x14ac:dyDescent="0.25">
      <c r="A3" s="3" t="s">
        <v>47</v>
      </c>
      <c r="B3" s="3">
        <v>251</v>
      </c>
      <c r="C3" s="3">
        <v>255</v>
      </c>
      <c r="D3" s="3">
        <v>201</v>
      </c>
      <c r="E3" s="3">
        <v>106</v>
      </c>
      <c r="F3" s="3">
        <v>98</v>
      </c>
      <c r="G3" s="3">
        <v>40</v>
      </c>
      <c r="H3" s="3">
        <v>132</v>
      </c>
      <c r="I3" s="3">
        <v>55</v>
      </c>
    </row>
    <row r="4" spans="1:9" x14ac:dyDescent="0.25">
      <c r="A4" s="2" t="s">
        <v>48</v>
      </c>
      <c r="B4" s="2">
        <v>258</v>
      </c>
      <c r="C4" s="2">
        <v>258</v>
      </c>
      <c r="D4" s="2">
        <v>207</v>
      </c>
      <c r="E4" s="2">
        <v>109</v>
      </c>
      <c r="F4" s="2">
        <v>100</v>
      </c>
      <c r="G4" s="2">
        <v>42</v>
      </c>
      <c r="H4" s="2">
        <v>135</v>
      </c>
      <c r="I4" s="2">
        <v>56</v>
      </c>
    </row>
    <row r="5" spans="1:9" x14ac:dyDescent="0.25">
      <c r="A5" s="3" t="s">
        <v>49</v>
      </c>
      <c r="B5" s="3">
        <v>263</v>
      </c>
      <c r="C5" s="3">
        <v>261</v>
      </c>
      <c r="D5" s="3">
        <v>211</v>
      </c>
      <c r="E5" s="3">
        <v>111</v>
      </c>
      <c r="F5" s="3">
        <v>102</v>
      </c>
      <c r="G5" s="3">
        <v>44</v>
      </c>
      <c r="H5" s="3">
        <v>137</v>
      </c>
      <c r="I5" s="3">
        <v>57</v>
      </c>
    </row>
    <row r="6" spans="1:9" x14ac:dyDescent="0.25">
      <c r="A6" s="2" t="s">
        <v>50</v>
      </c>
      <c r="B6" s="2">
        <v>268</v>
      </c>
      <c r="C6" s="2">
        <v>264</v>
      </c>
      <c r="D6" s="2">
        <v>215</v>
      </c>
      <c r="E6" s="2">
        <v>114</v>
      </c>
      <c r="F6" s="2">
        <v>104</v>
      </c>
      <c r="G6" s="2">
        <v>45</v>
      </c>
      <c r="H6" s="2">
        <v>139</v>
      </c>
      <c r="I6" s="2">
        <v>58</v>
      </c>
    </row>
    <row r="7" spans="1:9" x14ac:dyDescent="0.25">
      <c r="A7" s="3" t="s">
        <v>51</v>
      </c>
      <c r="B7" s="3">
        <v>274</v>
      </c>
      <c r="C7" s="3">
        <v>267</v>
      </c>
      <c r="D7" s="3">
        <v>220</v>
      </c>
      <c r="E7" s="3">
        <v>117</v>
      </c>
      <c r="F7" s="3">
        <v>106</v>
      </c>
      <c r="G7" s="3">
        <v>47</v>
      </c>
      <c r="H7" s="3">
        <v>141</v>
      </c>
      <c r="I7" s="3">
        <v>59</v>
      </c>
    </row>
    <row r="8" spans="1:9" x14ac:dyDescent="0.25">
      <c r="A8" s="2" t="s">
        <v>52</v>
      </c>
      <c r="B8" s="2">
        <v>279</v>
      </c>
      <c r="C8" s="2">
        <v>270</v>
      </c>
      <c r="D8" s="2">
        <v>224</v>
      </c>
      <c r="E8" s="2">
        <v>120</v>
      </c>
      <c r="F8" s="2">
        <v>108</v>
      </c>
      <c r="G8" s="2">
        <v>48</v>
      </c>
      <c r="H8" s="2">
        <v>138</v>
      </c>
      <c r="I8" s="2">
        <v>60</v>
      </c>
    </row>
    <row r="9" spans="1:9" x14ac:dyDescent="0.25">
      <c r="A9" s="3" t="s">
        <v>53</v>
      </c>
      <c r="B9" s="3">
        <v>294</v>
      </c>
      <c r="C9" s="3">
        <v>303</v>
      </c>
      <c r="D9" s="3">
        <v>234</v>
      </c>
      <c r="E9" s="3">
        <v>126</v>
      </c>
      <c r="F9" s="3">
        <v>112</v>
      </c>
      <c r="G9" s="3">
        <v>51</v>
      </c>
      <c r="H9" s="3">
        <v>137</v>
      </c>
      <c r="I9" s="3">
        <v>59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13"/>
  <sheetViews>
    <sheetView zoomScaleNormal="100" workbookViewId="0">
      <selection activeCell="H23" sqref="H23"/>
    </sheetView>
  </sheetViews>
  <sheetFormatPr defaultColWidth="8.7109375" defaultRowHeight="15" x14ac:dyDescent="0.25"/>
  <cols>
    <col min="1" max="1" width="6.7109375" bestFit="1" customWidth="1"/>
    <col min="2" max="2" width="6.140625" bestFit="1" customWidth="1"/>
    <col min="3" max="3" width="15.5703125" bestFit="1" customWidth="1"/>
    <col min="4" max="4" width="20.7109375" bestFit="1" customWidth="1"/>
    <col min="5" max="5" width="14.7109375" bestFit="1" customWidth="1"/>
    <col min="6" max="6" width="11.42578125" bestFit="1" customWidth="1"/>
    <col min="7" max="7" width="8.7109375" bestFit="1" customWidth="1"/>
    <col min="8" max="8" width="10.28515625" bestFit="1" customWidth="1"/>
    <col min="9" max="9" width="12.28515625" bestFit="1" customWidth="1"/>
    <col min="10" max="10" width="12.85546875" bestFit="1" customWidth="1"/>
  </cols>
  <sheetData>
    <row r="1" spans="1:10" x14ac:dyDescent="0.25">
      <c r="A1" s="1" t="s">
        <v>0</v>
      </c>
      <c r="B1" s="1" t="s">
        <v>84</v>
      </c>
      <c r="C1" s="1" t="s">
        <v>166</v>
      </c>
      <c r="D1" s="1" t="s">
        <v>167</v>
      </c>
      <c r="E1" s="1" t="s">
        <v>168</v>
      </c>
      <c r="F1" s="1" t="s">
        <v>169</v>
      </c>
      <c r="G1" s="1" t="s">
        <v>170</v>
      </c>
      <c r="H1" s="1" t="s">
        <v>171</v>
      </c>
      <c r="I1" s="1" t="s">
        <v>172</v>
      </c>
      <c r="J1" s="1" t="s">
        <v>173</v>
      </c>
    </row>
    <row r="2" spans="1:10" x14ac:dyDescent="0.25">
      <c r="A2" s="2" t="s">
        <v>52</v>
      </c>
      <c r="B2" s="2">
        <v>349</v>
      </c>
      <c r="C2" s="2">
        <v>2040</v>
      </c>
      <c r="D2" s="2">
        <v>1606</v>
      </c>
      <c r="E2" s="2">
        <v>771</v>
      </c>
      <c r="F2" s="2">
        <v>900</v>
      </c>
      <c r="G2" s="2">
        <v>51</v>
      </c>
      <c r="H2" s="2" t="s">
        <v>174</v>
      </c>
      <c r="I2" s="2">
        <v>1057</v>
      </c>
      <c r="J2" s="2">
        <v>900</v>
      </c>
    </row>
    <row r="3" spans="1:10" x14ac:dyDescent="0.25">
      <c r="A3" s="3" t="s">
        <v>52</v>
      </c>
      <c r="B3" s="3">
        <v>349</v>
      </c>
      <c r="C3" s="3">
        <v>1919</v>
      </c>
      <c r="D3" s="3">
        <v>1606</v>
      </c>
      <c r="E3" s="3">
        <v>771</v>
      </c>
      <c r="F3" s="3">
        <v>900</v>
      </c>
      <c r="G3" s="3">
        <v>51</v>
      </c>
      <c r="H3" s="3" t="s">
        <v>175</v>
      </c>
      <c r="I3" s="3">
        <v>908</v>
      </c>
      <c r="J3" s="3">
        <v>750</v>
      </c>
    </row>
    <row r="4" spans="1:10" x14ac:dyDescent="0.25">
      <c r="A4" s="2" t="s">
        <v>52</v>
      </c>
      <c r="B4" s="2">
        <v>349</v>
      </c>
      <c r="C4" s="2">
        <v>2025</v>
      </c>
      <c r="D4" s="2">
        <v>1606</v>
      </c>
      <c r="E4" s="2">
        <v>771</v>
      </c>
      <c r="F4" s="2">
        <v>900</v>
      </c>
      <c r="G4" s="2">
        <v>51</v>
      </c>
      <c r="H4" s="2" t="s">
        <v>176</v>
      </c>
      <c r="I4" s="2">
        <v>93</v>
      </c>
      <c r="J4" s="2">
        <v>100</v>
      </c>
    </row>
    <row r="5" spans="1:10" x14ac:dyDescent="0.25">
      <c r="A5" s="3" t="s">
        <v>53</v>
      </c>
      <c r="B5" s="3">
        <v>349</v>
      </c>
      <c r="C5" s="3">
        <v>1927</v>
      </c>
      <c r="D5" s="3">
        <v>1606</v>
      </c>
      <c r="E5" s="3">
        <v>771</v>
      </c>
      <c r="F5" s="3">
        <v>900</v>
      </c>
      <c r="G5" s="3">
        <v>51</v>
      </c>
      <c r="H5" s="3" t="s">
        <v>174</v>
      </c>
      <c r="I5" s="3">
        <v>1096</v>
      </c>
      <c r="J5" s="3">
        <v>900</v>
      </c>
    </row>
    <row r="6" spans="1:10" x14ac:dyDescent="0.25">
      <c r="A6" s="2" t="s">
        <v>53</v>
      </c>
      <c r="B6" s="2">
        <v>349</v>
      </c>
      <c r="C6" s="2">
        <v>1927</v>
      </c>
      <c r="D6" s="2">
        <v>1606</v>
      </c>
      <c r="E6" s="2">
        <v>771</v>
      </c>
      <c r="F6" s="2">
        <v>900</v>
      </c>
      <c r="G6" s="2">
        <v>51</v>
      </c>
      <c r="H6" s="2" t="s">
        <v>175</v>
      </c>
      <c r="I6" s="2">
        <v>839</v>
      </c>
      <c r="J6" s="2">
        <v>750</v>
      </c>
    </row>
    <row r="7" spans="1:10" x14ac:dyDescent="0.25">
      <c r="A7" s="3" t="s">
        <v>53</v>
      </c>
      <c r="B7" s="3">
        <v>349</v>
      </c>
      <c r="C7" s="3">
        <v>1927</v>
      </c>
      <c r="D7" s="3">
        <v>1606</v>
      </c>
      <c r="E7" s="3">
        <v>771</v>
      </c>
      <c r="F7" s="3">
        <v>900</v>
      </c>
      <c r="G7" s="3">
        <v>51</v>
      </c>
      <c r="H7" s="3" t="s">
        <v>176</v>
      </c>
      <c r="I7" s="3">
        <v>158</v>
      </c>
      <c r="J7" s="3">
        <v>100</v>
      </c>
    </row>
    <row r="8" spans="1:10" x14ac:dyDescent="0.25">
      <c r="A8" s="2" t="s">
        <v>54</v>
      </c>
      <c r="B8" s="2">
        <v>349</v>
      </c>
      <c r="C8" s="2">
        <v>2069</v>
      </c>
      <c r="D8" s="2">
        <v>1606</v>
      </c>
      <c r="E8" s="2">
        <v>771</v>
      </c>
      <c r="F8" s="2">
        <v>900</v>
      </c>
      <c r="G8" s="2">
        <v>51</v>
      </c>
      <c r="H8" s="2" t="s">
        <v>174</v>
      </c>
      <c r="I8" s="2">
        <v>1100</v>
      </c>
      <c r="J8" s="2">
        <v>900</v>
      </c>
    </row>
    <row r="9" spans="1:10" x14ac:dyDescent="0.25">
      <c r="A9" s="3" t="s">
        <v>54</v>
      </c>
      <c r="B9" s="3">
        <v>349</v>
      </c>
      <c r="C9" s="3">
        <v>2019</v>
      </c>
      <c r="D9" s="3">
        <v>1606</v>
      </c>
      <c r="E9" s="3">
        <v>771</v>
      </c>
      <c r="F9" s="3">
        <v>900</v>
      </c>
      <c r="G9" s="3">
        <v>51</v>
      </c>
      <c r="H9" s="3" t="s">
        <v>175</v>
      </c>
      <c r="I9" s="3">
        <v>854</v>
      </c>
      <c r="J9" s="3">
        <v>750</v>
      </c>
    </row>
    <row r="10" spans="1:10" x14ac:dyDescent="0.25">
      <c r="A10" s="2" t="s">
        <v>54</v>
      </c>
      <c r="B10" s="2">
        <v>349</v>
      </c>
      <c r="C10" s="2">
        <v>2019</v>
      </c>
      <c r="D10" s="2">
        <v>1606</v>
      </c>
      <c r="E10" s="2">
        <v>771</v>
      </c>
      <c r="F10" s="2">
        <v>900</v>
      </c>
      <c r="G10" s="2">
        <v>51</v>
      </c>
      <c r="H10" s="2" t="s">
        <v>176</v>
      </c>
      <c r="I10" s="2">
        <v>118</v>
      </c>
      <c r="J10" s="2">
        <v>100</v>
      </c>
    </row>
    <row r="11" spans="1:10" x14ac:dyDescent="0.25">
      <c r="A11" s="3" t="s">
        <v>8</v>
      </c>
      <c r="B11" s="3">
        <v>349</v>
      </c>
      <c r="C11" s="3">
        <v>1874</v>
      </c>
      <c r="D11" s="3">
        <v>1606</v>
      </c>
      <c r="E11" s="3">
        <v>771</v>
      </c>
      <c r="F11" s="3">
        <v>900</v>
      </c>
      <c r="G11" s="3">
        <v>51</v>
      </c>
      <c r="H11" s="3" t="s">
        <v>174</v>
      </c>
      <c r="I11" s="3">
        <v>1039</v>
      </c>
      <c r="J11" s="3">
        <v>900</v>
      </c>
    </row>
    <row r="12" spans="1:10" x14ac:dyDescent="0.25">
      <c r="A12" s="2" t="s">
        <v>8</v>
      </c>
      <c r="B12" s="2">
        <v>349</v>
      </c>
      <c r="C12" s="2">
        <v>1826</v>
      </c>
      <c r="D12" s="2">
        <v>1606</v>
      </c>
      <c r="E12" s="2">
        <v>771</v>
      </c>
      <c r="F12" s="2">
        <v>900</v>
      </c>
      <c r="G12" s="2">
        <v>51</v>
      </c>
      <c r="H12" s="2" t="s">
        <v>175</v>
      </c>
      <c r="I12" s="2">
        <v>907</v>
      </c>
      <c r="J12" s="2">
        <v>750</v>
      </c>
    </row>
    <row r="13" spans="1:10" x14ac:dyDescent="0.25">
      <c r="A13" s="3" t="s">
        <v>8</v>
      </c>
      <c r="B13" s="3">
        <v>349</v>
      </c>
      <c r="C13" s="3">
        <v>1997</v>
      </c>
      <c r="D13" s="3">
        <v>1606</v>
      </c>
      <c r="E13" s="3">
        <v>771</v>
      </c>
      <c r="F13" s="3">
        <v>900</v>
      </c>
      <c r="G13" s="3">
        <v>51</v>
      </c>
      <c r="H13" s="3" t="s">
        <v>176</v>
      </c>
      <c r="I13" s="3">
        <v>111</v>
      </c>
      <c r="J13" s="3">
        <v>100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C61AC0E641BA459D5D304D2E3E2B73" ma:contentTypeVersion="3" ma:contentTypeDescription="Create a new document." ma:contentTypeScope="" ma:versionID="7e9500d7bfb9a1d5bec8ccbdb56b483f">
  <xsd:schema xmlns:xsd="http://www.w3.org/2001/XMLSchema" xmlns:xs="http://www.w3.org/2001/XMLSchema" xmlns:p="http://schemas.microsoft.com/office/2006/metadata/properties" xmlns:ns2="a05e9c9e-37a8-4ebc-a69c-b7b1e723d171" targetNamespace="http://schemas.microsoft.com/office/2006/metadata/properties" ma:root="true" ma:fieldsID="510e9287a4ba50468907760af066689d" ns2:_="">
    <xsd:import namespace="a05e9c9e-37a8-4ebc-a69c-b7b1e723d1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05e9c9e-37a8-4ebc-a69c-b7b1e723d17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54E8028-5EAC-4B5C-BC84-0A96A548C4B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05e9c9e-37a8-4ebc-a69c-b7b1e723d17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46063F7-F7F9-4CDE-8387-57A2670C9E1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F30D9A8-DF0C-4BE8-8230-FB1B79303CAC}">
  <ds:schemaRefs>
    <ds:schemaRef ds:uri="http://schemas.microsoft.com/office/2006/documentManagement/types"/>
    <ds:schemaRef ds:uri="http://purl.org/dc/dcmitype/"/>
    <ds:schemaRef ds:uri="http://schemas.microsoft.com/office/2006/metadata/properties"/>
    <ds:schemaRef ds:uri="a05e9c9e-37a8-4ebc-a69c-b7b1e723d171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KPI_Summary</vt:lpstr>
      <vt:lpstr>Financial_Monthly</vt:lpstr>
      <vt:lpstr>EBITDA_Bridge</vt:lpstr>
      <vt:lpstr>OPEX</vt:lpstr>
      <vt:lpstr>Cash_CAPEX</vt:lpstr>
      <vt:lpstr>Consumer_Sales</vt:lpstr>
      <vt:lpstr>Business_Sales</vt:lpstr>
      <vt:lpstr>Pipeline</vt:lpstr>
      <vt:lpstr>Renewals</vt:lpstr>
      <vt:lpstr>DPDI</vt:lpstr>
      <vt:lpstr>AMPLIA_Financial</vt:lpstr>
      <vt:lpstr>AMPLIA_Commercial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Chad Simeon</cp:lastModifiedBy>
  <cp:revision>0</cp:revision>
  <dcterms:created xsi:type="dcterms:W3CDTF">2026-05-06T16:27:20Z</dcterms:created>
  <dcterms:modified xsi:type="dcterms:W3CDTF">2026-05-07T14:42:01Z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0x010100AFC61AC0E641BA459D5D304D2E3E2B73</vt:lpwstr>
  </property>
</Properties>
</file>